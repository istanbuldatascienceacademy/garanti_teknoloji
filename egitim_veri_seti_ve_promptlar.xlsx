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zekeriyabesiroglu/Downloads/"/>
    </mc:Choice>
  </mc:AlternateContent>
  <xr:revisionPtr revIDLastSave="0" documentId="13_ncr:1_{EE8632C5-BB93-B64C-B46D-8C8EEAAAE3F5}" xr6:coauthVersionLast="47" xr6:coauthVersionMax="47" xr10:uidLastSave="{00000000-0000-0000-0000-000000000000}"/>
  <bookViews>
    <workbookView xWindow="0" yWindow="0" windowWidth="33600" windowHeight="21000" tabRatio="500" activeTab="6" xr2:uid="{00000000-000D-0000-FFFF-FFFF00000000}"/>
  </bookViews>
  <sheets>
    <sheet name="📋 Kullanım Kılavuzu" sheetId="1" r:id="rId1"/>
    <sheet name="1_Kredi_Başvuruları" sheetId="2" r:id="rId2"/>
    <sheet name="2_Müşteri_Şikayetleri" sheetId="3" r:id="rId3"/>
    <sheet name="3_Şube_KPI" sheetId="4" r:id="rId4"/>
    <sheet name="4_İşlem_Anomalileri" sheetId="5" r:id="rId5"/>
    <sheet name="5_Prompt_Kütüphanesi" sheetId="6" r:id="rId6"/>
    <sheet name="6_Egzersiz_Senaryoları" sheetId="7" r:id="rId7"/>
    <sheet name="7_İyi_Kötü_Promptlar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3" i="2" l="1"/>
  <c r="F53" i="2"/>
  <c r="E53" i="2"/>
  <c r="D53" i="2"/>
  <c r="C53" i="2"/>
  <c r="B53" i="2"/>
</calcChain>
</file>

<file path=xl/sharedStrings.xml><?xml version="1.0" encoding="utf-8"?>
<sst xmlns="http://schemas.openxmlformats.org/spreadsheetml/2006/main" count="3386" uniqueCount="1538">
  <si>
    <t>📋 PROMPT ENGINEERING EĞİTİMİ — Veri Seti ve Prompt Kütüphanesi Kullanım Kılavuzu</t>
  </si>
  <si>
    <t>SAYFA</t>
  </si>
  <si>
    <t>İÇERİK</t>
  </si>
  <si>
    <t>KULLANIM AMACI</t>
  </si>
  <si>
    <t>BÖLÜM</t>
  </si>
  <si>
    <t>1️⃣ Kredi_Başvuruları</t>
  </si>
  <si>
    <t>50 adet bireysel kredi başvurusu verisi</t>
  </si>
  <si>
    <t>Zero-Shot, CoT, Risk Analizi egzersizleri</t>
  </si>
  <si>
    <t>Bölüm 4 – Senaryo 1</t>
  </si>
  <si>
    <t>2️⃣ Müşteri_Şikayetleri</t>
  </si>
  <si>
    <t>40 adet müşteri şikayeti ve kategorileri</t>
  </si>
  <si>
    <t>Few-Shot sınıflandırma, empati yanıt egzersizleri</t>
  </si>
  <si>
    <t>Bölüm 4 – Senaryo 2</t>
  </si>
  <si>
    <t>3️⃣ Şube_KPI</t>
  </si>
  <si>
    <t>12 aylık şube performans metrikleri</t>
  </si>
  <si>
    <t>Trend analizi, yönetim raporu promptları</t>
  </si>
  <si>
    <t>Bölüm 4 – Senaryo 4</t>
  </si>
  <si>
    <t>4️⃣ İşlem_Anomalileri</t>
  </si>
  <si>
    <t>200 işlem kaydı (anomali içerir)</t>
  </si>
  <si>
    <t>Anomali tespiti, şüpheli işlem promptları</t>
  </si>
  <si>
    <t>Bölüm 4 – Senaryo 5</t>
  </si>
  <si>
    <t>5️⃣ Prompt_Kütüphanesi</t>
  </si>
  <si>
    <t>35 hazır prompt şablonu, 6 kategori</t>
  </si>
  <si>
    <t>Günlük kullanım için kopyala-yapıştır şablonlar</t>
  </si>
  <si>
    <t>Tüm bölümler</t>
  </si>
  <si>
    <t>6️⃣ Egzersiz_Senaryoları</t>
  </si>
  <si>
    <t>10 atölye senaryosu + beklenen çıktılar</t>
  </si>
  <si>
    <t>Atölye çalışmaları ve grup egzersizleri</t>
  </si>
  <si>
    <t>Bölüm 6 – Atölye</t>
  </si>
  <si>
    <t>7️⃣ İyi_Kötü_Promptlar</t>
  </si>
  <si>
    <t>30 çift: zayıf prompt → güçlü prompt</t>
  </si>
  <si>
    <t>Prompt iyileştirme egzersizi</t>
  </si>
  <si>
    <t>Bölüm 2 &amp; 3</t>
  </si>
  <si>
    <t>💡 NASIL KULLANILIR: Her sayfada sarı arka planlı hücreler 'örnek veri' olarak işaretlenmiştir. Prompt şablonlarında [KÖŞELI PARANTEZ] içindekiler değiştirilecek alanları gösterir.</t>
  </si>
  <si>
    <t>📊 VERİ SETİ 1 — Bireysel Kredi Başvuruları | 50 Kayıt</t>
  </si>
  <si>
    <t>Başvuru No</t>
  </si>
  <si>
    <t>Ad Soyad</t>
  </si>
  <si>
    <t>Yaş</t>
  </si>
  <si>
    <t>Meslek</t>
  </si>
  <si>
    <t>Çalışma Süresi
(Yıl)</t>
  </si>
  <si>
    <t>Aylık Gelir
(TL)</t>
  </si>
  <si>
    <t>Aylık Gider
(TL)</t>
  </si>
  <si>
    <t>Mevcut Borç
(TL)</t>
  </si>
  <si>
    <t>Kredi Notu
(Findeks)</t>
  </si>
  <si>
    <t>İstenen Tutar
(TL)</t>
  </si>
  <si>
    <t>Vade
(Ay)</t>
  </si>
  <si>
    <t>Teminat</t>
  </si>
  <si>
    <t>Başvuru Tarihi</t>
  </si>
  <si>
    <t>Sonuç</t>
  </si>
  <si>
    <t>KRD-2025-0001</t>
  </si>
  <si>
    <t>Müşteri 01</t>
  </si>
  <si>
    <t>Öğretmen</t>
  </si>
  <si>
    <t>Arazi</t>
  </si>
  <si>
    <t>2025-01-14</t>
  </si>
  <si>
    <t>Reddedildi</t>
  </si>
  <si>
    <t>KRD-2025-0002</t>
  </si>
  <si>
    <t>Müşteri 02</t>
  </si>
  <si>
    <t>Mühendis</t>
  </si>
  <si>
    <t>Araç</t>
  </si>
  <si>
    <t>2025-03-15</t>
  </si>
  <si>
    <t>Koşullu Onay</t>
  </si>
  <si>
    <t>KRD-2025-0003</t>
  </si>
  <si>
    <t>Müşteri 03</t>
  </si>
  <si>
    <t>Veteriner</t>
  </si>
  <si>
    <t>Mevduat</t>
  </si>
  <si>
    <t>2025-01-04</t>
  </si>
  <si>
    <t>KRD-2025-0004</t>
  </si>
  <si>
    <t>Müşteri 04</t>
  </si>
  <si>
    <t>Yok</t>
  </si>
  <si>
    <t>2025-03-03</t>
  </si>
  <si>
    <t>KRD-2025-0005</t>
  </si>
  <si>
    <t>Müşteri 05</t>
  </si>
  <si>
    <t>Öğretim Görevlisi</t>
  </si>
  <si>
    <t>2025-01-03</t>
  </si>
  <si>
    <t>KRD-2025-0006</t>
  </si>
  <si>
    <t>Müşteri 06</t>
  </si>
  <si>
    <t>Bankacı</t>
  </si>
  <si>
    <t>2025-02-22</t>
  </si>
  <si>
    <t>KRD-2025-0007</t>
  </si>
  <si>
    <t>Müşteri 07</t>
  </si>
  <si>
    <t>Satış Temsilcisi</t>
  </si>
  <si>
    <t>2025-03-21</t>
  </si>
  <si>
    <t>KRD-2025-0008</t>
  </si>
  <si>
    <t>Müşteri 08</t>
  </si>
  <si>
    <t>Eczacı</t>
  </si>
  <si>
    <t>Ev</t>
  </si>
  <si>
    <t>2025-03-07</t>
  </si>
  <si>
    <t>KRD-2025-0009</t>
  </si>
  <si>
    <t>Müşteri 09</t>
  </si>
  <si>
    <t>Avukat</t>
  </si>
  <si>
    <t>2025-03-24</t>
  </si>
  <si>
    <t>KRD-2025-0010</t>
  </si>
  <si>
    <t>Müşteri 10</t>
  </si>
  <si>
    <t>Muhasebeci</t>
  </si>
  <si>
    <t>2025-01-16</t>
  </si>
  <si>
    <t>KRD-2025-0011</t>
  </si>
  <si>
    <t>Müşteri 11</t>
  </si>
  <si>
    <t>KRD-2025-0012</t>
  </si>
  <si>
    <t>Müşteri 12</t>
  </si>
  <si>
    <t>İnşaat Teknikeri</t>
  </si>
  <si>
    <t>2025-02-06</t>
  </si>
  <si>
    <t>KRD-2025-0013</t>
  </si>
  <si>
    <t>Müşteri 13</t>
  </si>
  <si>
    <t>Mimar</t>
  </si>
  <si>
    <t>İşyeri</t>
  </si>
  <si>
    <t>2025-03-10</t>
  </si>
  <si>
    <t>KRD-2025-0014</t>
  </si>
  <si>
    <t>Müşteri 14</t>
  </si>
  <si>
    <t>KRD-2025-0015</t>
  </si>
  <si>
    <t>Müşteri 15</t>
  </si>
  <si>
    <t>Makine Operatörü</t>
  </si>
  <si>
    <t>2025-01-27</t>
  </si>
  <si>
    <t>KRD-2025-0016</t>
  </si>
  <si>
    <t>Müşteri 16</t>
  </si>
  <si>
    <t>KRD-2025-0017</t>
  </si>
  <si>
    <t>Müşteri 17</t>
  </si>
  <si>
    <t>KRD-2025-0018</t>
  </si>
  <si>
    <t>Müşteri 18</t>
  </si>
  <si>
    <t>2025-01-21</t>
  </si>
  <si>
    <t>KRD-2025-0019</t>
  </si>
  <si>
    <t>Müşteri 19</t>
  </si>
  <si>
    <t>2025-03-05</t>
  </si>
  <si>
    <t>KRD-2025-0020</t>
  </si>
  <si>
    <t>Müşteri 20</t>
  </si>
  <si>
    <t>Onaylandı</t>
  </si>
  <si>
    <t>KRD-2025-0021</t>
  </si>
  <si>
    <t>Müşteri 21</t>
  </si>
  <si>
    <t>2025-02-18</t>
  </si>
  <si>
    <t>KRD-2025-0022</t>
  </si>
  <si>
    <t>Müşteri 22</t>
  </si>
  <si>
    <t>KRD-2025-0023</t>
  </si>
  <si>
    <t>Müşteri 23</t>
  </si>
  <si>
    <t>2025-01-02</t>
  </si>
  <si>
    <t>KRD-2025-0024</t>
  </si>
  <si>
    <t>Müşteri 24</t>
  </si>
  <si>
    <t>2025-03-26</t>
  </si>
  <si>
    <t>KRD-2025-0025</t>
  </si>
  <si>
    <t>Müşteri 25</t>
  </si>
  <si>
    <t>Hemşire</t>
  </si>
  <si>
    <t>2025-02-19</t>
  </si>
  <si>
    <t>KRD-2025-0026</t>
  </si>
  <si>
    <t>Müşteri 26</t>
  </si>
  <si>
    <t>2025-01-22</t>
  </si>
  <si>
    <t>KRD-2025-0027</t>
  </si>
  <si>
    <t>Müşteri 27</t>
  </si>
  <si>
    <t>2025-03-19</t>
  </si>
  <si>
    <t>KRD-2025-0028</t>
  </si>
  <si>
    <t>Müşteri 28</t>
  </si>
  <si>
    <t>2025-03-22</t>
  </si>
  <si>
    <t>KRD-2025-0029</t>
  </si>
  <si>
    <t>Müşteri 29</t>
  </si>
  <si>
    <t>Yazılım Uzmanı</t>
  </si>
  <si>
    <t>2025-01-09</t>
  </si>
  <si>
    <t>KRD-2025-0030</t>
  </si>
  <si>
    <t>Müşteri 30</t>
  </si>
  <si>
    <t>2025-03-20</t>
  </si>
  <si>
    <t>KRD-2025-0031</t>
  </si>
  <si>
    <t>Müşteri 31</t>
  </si>
  <si>
    <t>KRD-2025-0032</t>
  </si>
  <si>
    <t>Müşteri 32</t>
  </si>
  <si>
    <t>2025-01-28</t>
  </si>
  <si>
    <t>KRD-2025-0033</t>
  </si>
  <si>
    <t>Müşteri 33</t>
  </si>
  <si>
    <t>KRD-2025-0034</t>
  </si>
  <si>
    <t>Müşteri 34</t>
  </si>
  <si>
    <t>2025-02-05</t>
  </si>
  <si>
    <t>KRD-2025-0035</t>
  </si>
  <si>
    <t>Müşteri 35</t>
  </si>
  <si>
    <t>KRD-2025-0036</t>
  </si>
  <si>
    <t>Müşteri 36</t>
  </si>
  <si>
    <t>KRD-2025-0037</t>
  </si>
  <si>
    <t>Müşteri 37</t>
  </si>
  <si>
    <t>2025-02-04</t>
  </si>
  <si>
    <t>KRD-2025-0038</t>
  </si>
  <si>
    <t>Müşteri 38</t>
  </si>
  <si>
    <t>2025-01-08</t>
  </si>
  <si>
    <t>KRD-2025-0039</t>
  </si>
  <si>
    <t>Müşteri 39</t>
  </si>
  <si>
    <t>2025-03-27</t>
  </si>
  <si>
    <t>KRD-2025-0040</t>
  </si>
  <si>
    <t>Müşteri 40</t>
  </si>
  <si>
    <t>2025-03-12</t>
  </si>
  <si>
    <t>KRD-2025-0041</t>
  </si>
  <si>
    <t>Müşteri 41</t>
  </si>
  <si>
    <t>2025-03-01</t>
  </si>
  <si>
    <t>KRD-2025-0042</t>
  </si>
  <si>
    <t>Müşteri 42</t>
  </si>
  <si>
    <t>2025-02-24</t>
  </si>
  <si>
    <t>KRD-2025-0043</t>
  </si>
  <si>
    <t>Müşteri 43</t>
  </si>
  <si>
    <t>2025-03-13</t>
  </si>
  <si>
    <t>KRD-2025-0044</t>
  </si>
  <si>
    <t>Müşteri 44</t>
  </si>
  <si>
    <t>KRD-2025-0045</t>
  </si>
  <si>
    <t>Müşteri 45</t>
  </si>
  <si>
    <t>KRD-2025-0046</t>
  </si>
  <si>
    <t>Müşteri 46</t>
  </si>
  <si>
    <t>2025-02-08</t>
  </si>
  <si>
    <t>KRD-2025-0047</t>
  </si>
  <si>
    <t>Müşteri 47</t>
  </si>
  <si>
    <t>KRD-2025-0048</t>
  </si>
  <si>
    <t>Müşteri 48</t>
  </si>
  <si>
    <t>2025-01-18</t>
  </si>
  <si>
    <t>KRD-2025-0049</t>
  </si>
  <si>
    <t>Müşteri 49</t>
  </si>
  <si>
    <t>2025-01-15</t>
  </si>
  <si>
    <t>KRD-2025-0050</t>
  </si>
  <si>
    <t>Müşteri 50</t>
  </si>
  <si>
    <t>2025-02-09</t>
  </si>
  <si>
    <t>ÖZET →</t>
  </si>
  <si>
    <t>📊 VERİ SETİ 2 — Müşteri Şikayet Kayıtları | 40 Kayıt</t>
  </si>
  <si>
    <t>Şikayet No</t>
  </si>
  <si>
    <t>Tarih</t>
  </si>
  <si>
    <t>Kanal</t>
  </si>
  <si>
    <t>Şikayet Metni (Müşterinin Kendi İfadesiyle)</t>
  </si>
  <si>
    <t>Beklenen Kategori</t>
  </si>
  <si>
    <t>Öncelik</t>
  </si>
  <si>
    <t>Segment</t>
  </si>
  <si>
    <t>Çözüm Süresi
(Saat)</t>
  </si>
  <si>
    <t>Durum</t>
  </si>
  <si>
    <t>Memnuniyet
(1-5)</t>
  </si>
  <si>
    <t>Atanan Ekip</t>
  </si>
  <si>
    <t>SIK-2025-0001</t>
  </si>
  <si>
    <t>2025-01-11</t>
  </si>
  <si>
    <t>Web</t>
  </si>
  <si>
    <t>ATM'den 500 TL çektim, para çıkmadı ama hesabımdan düştü. Yardım edin!</t>
  </si>
  <si>
    <t>Teknik Arıza</t>
  </si>
  <si>
    <t>Kritik</t>
  </si>
  <si>
    <t>Bireysel</t>
  </si>
  <si>
    <t>Çözüldü</t>
  </si>
  <si>
    <t>Operasyon</t>
  </si>
  <si>
    <t>SIK-2025-0002</t>
  </si>
  <si>
    <t>Mobil Uygulama</t>
  </si>
  <si>
    <t>Mobil uygulama 2 gündür açılmıyor, işlemlerimi yapamıyorum.</t>
  </si>
  <si>
    <t>Yüksek</t>
  </si>
  <si>
    <t>BT Destek</t>
  </si>
  <si>
    <t>SIK-2025-0003</t>
  </si>
  <si>
    <t>Kredi faiz oranım hakkında detaylı bilgi almak istiyorum.</t>
  </si>
  <si>
    <t>Bilgi Talebi</t>
  </si>
  <si>
    <t>Düşük</t>
  </si>
  <si>
    <t>Müşteri Hiz.</t>
  </si>
  <si>
    <t>SIK-2025-0004</t>
  </si>
  <si>
    <t>Hesabımdan bilgim olmadan 3 kez komisyon kesilmiş. Hemen iade istiyorum!</t>
  </si>
  <si>
    <t>Şüpheli İşlem</t>
  </si>
  <si>
    <t>İşlemde</t>
  </si>
  <si>
    <t>Güvenlik</t>
  </si>
  <si>
    <t>SIK-2025-0005</t>
  </si>
  <si>
    <t>2025-01-17</t>
  </si>
  <si>
    <t>EFT işlemim 3 gündür karşı tarafa ulaşmadı, para havada kaldı.</t>
  </si>
  <si>
    <t>Transfer Sorunu</t>
  </si>
  <si>
    <t>Kurumsal</t>
  </si>
  <si>
    <t>SIK-2025-0006</t>
  </si>
  <si>
    <t>2025-02-03</t>
  </si>
  <si>
    <t>Kredi kartım nedensiz bloke edilmiş, hiçbir açıklama yapılmadı.</t>
  </si>
  <si>
    <t>Kart İşlemleri</t>
  </si>
  <si>
    <t>Kart Merkezi</t>
  </si>
  <si>
    <t>SIK-2025-0007</t>
  </si>
  <si>
    <t>Telefon bankacılığında 45 dakika beklettiniz, sorunum hâlâ çözülmedi.</t>
  </si>
  <si>
    <t>Hizmet Kalitesi</t>
  </si>
  <si>
    <t>Orta</t>
  </si>
  <si>
    <t>Açık</t>
  </si>
  <si>
    <t>Çağrı Merkezi</t>
  </si>
  <si>
    <t>SIK-2025-0008</t>
  </si>
  <si>
    <t>İnternet bankacılığı şifremi 3 kez yanlış girdim, kilitlendi.</t>
  </si>
  <si>
    <t>Erişim Sorunu</t>
  </si>
  <si>
    <t>SIK-2025-0009</t>
  </si>
  <si>
    <t>Konut kredisi başvurusu yaptım, 3 haftadır dönüş yok.</t>
  </si>
  <si>
    <t>Kredi Süreci</t>
  </si>
  <si>
    <t>Kredi Merkezi</t>
  </si>
  <si>
    <t>SIK-2025-0010</t>
  </si>
  <si>
    <t>2025-03-08</t>
  </si>
  <si>
    <t>Sosyal Medya</t>
  </si>
  <si>
    <t>Hesap ekstremde işlem tarihleri yanlış görünüyor.</t>
  </si>
  <si>
    <t>Veri Hatası</t>
  </si>
  <si>
    <t>SIK-2025-0011</t>
  </si>
  <si>
    <t>2025-01-19</t>
  </si>
  <si>
    <t>E-posta</t>
  </si>
  <si>
    <t>Döviz çevirimde yanlış kur uygulandı, 150 TL fark var.</t>
  </si>
  <si>
    <t>İşlem Hatası</t>
  </si>
  <si>
    <t>SIK-2025-0012</t>
  </si>
  <si>
    <t>Kredi kartı limitim düşürüldü, hiç bilgilendirilmedim.</t>
  </si>
  <si>
    <t>Bildirim Eksikliği</t>
  </si>
  <si>
    <t>SIK-2025-0013</t>
  </si>
  <si>
    <t>Şubede bekleme süresi çok uzun, 1.5 saat bekledim.</t>
  </si>
  <si>
    <t>Şube Yönetimi</t>
  </si>
  <si>
    <t>SIK-2025-0014</t>
  </si>
  <si>
    <t>Şube</t>
  </si>
  <si>
    <t>Emekli maaşım bu ay 2 gün geç yatırıldı.</t>
  </si>
  <si>
    <t>Ödeme Gecikmesi</t>
  </si>
  <si>
    <t>SIK-2025-0015</t>
  </si>
  <si>
    <t>Yatırım hesabımda portföy değerleri hatalı hesaplanıyor.</t>
  </si>
  <si>
    <t>Varlıklı</t>
  </si>
  <si>
    <t>Yatırım</t>
  </si>
  <si>
    <t>SIK-2025-0016</t>
  </si>
  <si>
    <t>2025-03-04</t>
  </si>
  <si>
    <t>IBAN numaramın doğruluğunu teyit etmek istiyorum.</t>
  </si>
  <si>
    <t>SIK-2025-0017</t>
  </si>
  <si>
    <t>2025-03-18</t>
  </si>
  <si>
    <t>Telefon</t>
  </si>
  <si>
    <t>Otomatik ödeme talimatım çalışmamış, gecikme faizi ödemek zorunda kaldım.</t>
  </si>
  <si>
    <t>Ödeme Hatası</t>
  </si>
  <si>
    <t>SIK-2025-0018</t>
  </si>
  <si>
    <t>En yakın şubemiz kapatılmış, alternatif şube çok uzak.</t>
  </si>
  <si>
    <t>Hizmet Erişimi</t>
  </si>
  <si>
    <t>Şube Ağı</t>
  </si>
  <si>
    <t>SIK-2025-0019</t>
  </si>
  <si>
    <t>Kurumsal hesabıma yetkisiz kişi erişmiş, tüm yetkili listesini görmek istiyorum.</t>
  </si>
  <si>
    <t>SIK-2025-0020</t>
  </si>
  <si>
    <t>Çek ödemesi zamanında gerçekleşmedi, karşı taraf itiraz ediyor.</t>
  </si>
  <si>
    <t>SIK-2025-0021</t>
  </si>
  <si>
    <t>Dijital hesap açmak için hangi belgeler gerekiyor?</t>
  </si>
  <si>
    <t>SIK-2025-0022</t>
  </si>
  <si>
    <t>2025-01-20</t>
  </si>
  <si>
    <t>Kredi kartı ekstremim yanlış tutarları gösteriyor.</t>
  </si>
  <si>
    <t>SIK-2025-0023</t>
  </si>
  <si>
    <t>Şifre değişikliği SMS doğrulama kodu gelmedi.</t>
  </si>
  <si>
    <t>SIK-2025-0024</t>
  </si>
  <si>
    <t>2025-02-25</t>
  </si>
  <si>
    <t>Sürekli kredi teklifi araması yapılıyor, rahatsız edici.</t>
  </si>
  <si>
    <t>Pazarlama Şikayeti</t>
  </si>
  <si>
    <t>Pazarlama</t>
  </si>
  <si>
    <t>SIK-2025-0025</t>
  </si>
  <si>
    <t>İpotekli ev kredisi erken kapatmak istiyorum, süreç ve maliyet nedir?</t>
  </si>
  <si>
    <t>SIK-2025-0026</t>
  </si>
  <si>
    <t>2025-01-10</t>
  </si>
  <si>
    <t>Hesap bakiyem aniden sıfır gösteriyor, para nerede?</t>
  </si>
  <si>
    <t>SIK-2025-0027</t>
  </si>
  <si>
    <t>2025-01-23</t>
  </si>
  <si>
    <t>Müşteri temsilcisi telefonda kaba ve sabırsız davrandı.</t>
  </si>
  <si>
    <t>İK &amp; Kalite</t>
  </si>
  <si>
    <t>SIK-2025-0028</t>
  </si>
  <si>
    <t>Vadesiz hesabım bu ay hiç faiz getirmedi.</t>
  </si>
  <si>
    <t>Ürün Şikayeti</t>
  </si>
  <si>
    <t>Ürün Yönetimi</t>
  </si>
  <si>
    <t>SIK-2025-0029</t>
  </si>
  <si>
    <t>2025-02-16</t>
  </si>
  <si>
    <t>Para transferi limiti çok düşük, artırılmasını talep ediyorum.</t>
  </si>
  <si>
    <t>Limit Talebi</t>
  </si>
  <si>
    <t>SIK-2025-0030</t>
  </si>
  <si>
    <t>2025-02-15</t>
  </si>
  <si>
    <t>Uygulama güncellemesi sonrası kayıtlı hesaplarım ve kartlarım silindi.</t>
  </si>
  <si>
    <t>SIK-2025-0031</t>
  </si>
  <si>
    <t>Kredi sigortası iptalini 1 aydır yapamıyorum, sürekli bekliyorum.</t>
  </si>
  <si>
    <t>Süreç Sorunu</t>
  </si>
  <si>
    <t>Sigorta</t>
  </si>
  <si>
    <t>SIK-2025-0032</t>
  </si>
  <si>
    <t>Altın hesabı portföy değerleri yanlış hesaplanıyor.</t>
  </si>
  <si>
    <t>SIK-2025-0033</t>
  </si>
  <si>
    <t>Şubeye online randevu sistemi çalışmıyor, bağlanamıyorum.</t>
  </si>
  <si>
    <t>SIK-2025-0034</t>
  </si>
  <si>
    <t>2025-03-02</t>
  </si>
  <si>
    <t>Mevduat faiz oranlarınız rakip bankalardan çok düşük.</t>
  </si>
  <si>
    <t>SIK-2025-0035</t>
  </si>
  <si>
    <t>2025-03-25</t>
  </si>
  <si>
    <t>Hesap kapama talebim 2 haftadır işleme alınmadı.</t>
  </si>
  <si>
    <t>SIK-2025-0036</t>
  </si>
  <si>
    <t>2025-02-26</t>
  </si>
  <si>
    <t>POS cihazım arızalandı, değişim ne zaman yapılacak?</t>
  </si>
  <si>
    <t>Cihaz Arızası</t>
  </si>
  <si>
    <t>POS Destek</t>
  </si>
  <si>
    <t>SIK-2025-0037</t>
  </si>
  <si>
    <t>2025-02-23</t>
  </si>
  <si>
    <t>Döviz hesabıma yanlış para birimi yatırılmış.</t>
  </si>
  <si>
    <t>SIK-2025-0038</t>
  </si>
  <si>
    <t>2025-03-16</t>
  </si>
  <si>
    <t>Uygulamada fatura ödeme ekranı görünmüyor.</t>
  </si>
  <si>
    <t>SIK-2025-0039</t>
  </si>
  <si>
    <t>Konut sigortam otomatik yenilendi ama prim çok yüksek.</t>
  </si>
  <si>
    <t>Sigorta Şikayeti</t>
  </si>
  <si>
    <t>SIK-2025-0040</t>
  </si>
  <si>
    <t>Kurumsal kartımın limiti şirkete haber verilmeden sıfırlandı.</t>
  </si>
  <si>
    <t>📊 VERİ SETİ 3 — Şube Performans KPI'ları | 12 Aylık (2024)</t>
  </si>
  <si>
    <t>Ay</t>
  </si>
  <si>
    <t>Bölge</t>
  </si>
  <si>
    <t>Yeni Müşteri</t>
  </si>
  <si>
    <t>Kredi Hacmi
(Milyon TL)</t>
  </si>
  <si>
    <t>Mevduat
(Milyon TL)</t>
  </si>
  <si>
    <t>Müşteri Memnuniyet
Skoru (100)</t>
  </si>
  <si>
    <t>Şikayet
Sayısı</t>
  </si>
  <si>
    <t>Çözüm Süresi
(Ort. Saat)</t>
  </si>
  <si>
    <t>Personel
Sayısı</t>
  </si>
  <si>
    <t>İşlem
Adedi</t>
  </si>
  <si>
    <t>Dijital
KanalOranı%</t>
  </si>
  <si>
    <t>Hedef
Gerçekleşme%</t>
  </si>
  <si>
    <t>Ocak</t>
  </si>
  <si>
    <t>Kadıköy</t>
  </si>
  <si>
    <t>İstanbul</t>
  </si>
  <si>
    <t>⚠ Yakın</t>
  </si>
  <si>
    <t>Beşiktaş</t>
  </si>
  <si>
    <t>✅ Hedef Üzeri</t>
  </si>
  <si>
    <t>Çankaya</t>
  </si>
  <si>
    <t>Ankara</t>
  </si>
  <si>
    <t>❌ Hedef Altı</t>
  </si>
  <si>
    <t>Bornova</t>
  </si>
  <si>
    <t>İzmir</t>
  </si>
  <si>
    <t>Osmangazi</t>
  </si>
  <si>
    <t>Bursa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</si>
  <si>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</si>
  <si>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</si>
  <si>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</si>
  <si>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</si>
  <si>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</si>
  <si>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</si>
  <si>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</si>
  <si>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</si>
  <si>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</si>
  <si>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</si>
  <si>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</si>
  <si>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📊 VERİ SETİ 4 — Müşteri İşlem Kayıtları | 200 Kayıt (Anomali Tespiti Egzersizi)</t>
  </si>
  <si>
    <t>İşlem No</t>
  </si>
  <si>
    <t>Saat</t>
  </si>
  <si>
    <t>Müşteri No</t>
  </si>
  <si>
    <t>İşlem Türü</t>
  </si>
  <si>
    <t>Tutar (TL)</t>
  </si>
  <si>
    <t>Para Birimi</t>
  </si>
  <si>
    <t>Karşı Taraf</t>
  </si>
  <si>
    <t>Ülke</t>
  </si>
  <si>
    <t>Şüpheli?</t>
  </si>
  <si>
    <t>Anomali Türü</t>
  </si>
  <si>
    <t>TXN-000001</t>
  </si>
  <si>
    <t>18:52</t>
  </si>
  <si>
    <t>M-60870</t>
  </si>
  <si>
    <t>ATM Para Çekme</t>
  </si>
  <si>
    <t>TRY</t>
  </si>
  <si>
    <t>İşyeri 6551</t>
  </si>
  <si>
    <t>İnternet</t>
  </si>
  <si>
    <t>Türkiye</t>
  </si>
  <si>
    <t>Hayır</t>
  </si>
  <si>
    <t>TXN-000002</t>
  </si>
  <si>
    <t>22:20</t>
  </si>
  <si>
    <t>M-62772</t>
  </si>
  <si>
    <t>Havale</t>
  </si>
  <si>
    <t>Alıcı 7966</t>
  </si>
  <si>
    <t>ATM</t>
  </si>
  <si>
    <t>TXN-000003</t>
  </si>
  <si>
    <t>09:29</t>
  </si>
  <si>
    <t>M-77981</t>
  </si>
  <si>
    <t>İşyeri 6857</t>
  </si>
  <si>
    <t>POS</t>
  </si>
  <si>
    <t>TXN-000004</t>
  </si>
  <si>
    <t>12:47</t>
  </si>
  <si>
    <t>M-67896</t>
  </si>
  <si>
    <t>Kredi Ödemesi</t>
  </si>
  <si>
    <t>İşyeri 1607</t>
  </si>
  <si>
    <t>TXN-000005</t>
  </si>
  <si>
    <t>12:30</t>
  </si>
  <si>
    <t>M-99635</t>
  </si>
  <si>
    <t>Döviz Alım</t>
  </si>
  <si>
    <t>İşyeri 3341</t>
  </si>
  <si>
    <t>Mobil</t>
  </si>
  <si>
    <t>TXN-000006</t>
  </si>
  <si>
    <t>19:21</t>
  </si>
  <si>
    <t>M-27801</t>
  </si>
  <si>
    <t>İşyeri 8257</t>
  </si>
  <si>
    <t>TXN-000007</t>
  </si>
  <si>
    <t>2025-04-09</t>
  </si>
  <si>
    <t>11:22</t>
  </si>
  <si>
    <t>M-72409</t>
  </si>
  <si>
    <t>Alıcı 7689</t>
  </si>
  <si>
    <t>TXN-000008</t>
  </si>
  <si>
    <t>10:09</t>
  </si>
  <si>
    <t>M-48793</t>
  </si>
  <si>
    <t>İşyeri 4400</t>
  </si>
  <si>
    <t>TXN-000009</t>
  </si>
  <si>
    <t>22:51</t>
  </si>
  <si>
    <t>M-40658</t>
  </si>
  <si>
    <t>Alışveriş</t>
  </si>
  <si>
    <t>İşyeri 2186</t>
  </si>
  <si>
    <t>TXN-000010</t>
  </si>
  <si>
    <t>2025-03-17</t>
  </si>
  <si>
    <t>07:37</t>
  </si>
  <si>
    <t>M-16249</t>
  </si>
  <si>
    <t>Fatura Ödeme</t>
  </si>
  <si>
    <t>İşyeri 6517</t>
  </si>
  <si>
    <t>TXN-000011</t>
  </si>
  <si>
    <t>2025-04-27</t>
  </si>
  <si>
    <t>19:26</t>
  </si>
  <si>
    <t>M-58624</t>
  </si>
  <si>
    <t>EFT</t>
  </si>
  <si>
    <t>Alıcı 7530</t>
  </si>
  <si>
    <t>TXN-000012</t>
  </si>
  <si>
    <t>2025-04-25</t>
  </si>
  <si>
    <t>14:19</t>
  </si>
  <si>
    <t>M-95764</t>
  </si>
  <si>
    <t>İşyeri 4581</t>
  </si>
  <si>
    <t>TXN-000013</t>
  </si>
  <si>
    <t>19:18</t>
  </si>
  <si>
    <t>M-67425</t>
  </si>
  <si>
    <t>Alıcı 2141</t>
  </si>
  <si>
    <t>TXN-000014</t>
  </si>
  <si>
    <t>17:50</t>
  </si>
  <si>
    <t>M-72534</t>
  </si>
  <si>
    <t>İşyeri 7706</t>
  </si>
  <si>
    <t>TXN-000015</t>
  </si>
  <si>
    <t>16:24</t>
  </si>
  <si>
    <t>M-98898</t>
  </si>
  <si>
    <t>İşyeri 4238</t>
  </si>
  <si>
    <t>TXN-000016</t>
  </si>
  <si>
    <t>2025-01-12</t>
  </si>
  <si>
    <t>18:44</t>
  </si>
  <si>
    <t>M-48718</t>
  </si>
  <si>
    <t>İşyeri 7827</t>
  </si>
  <si>
    <t>TXN-000017</t>
  </si>
  <si>
    <t>20:55</t>
  </si>
  <si>
    <t>M-55290</t>
  </si>
  <si>
    <t>USD</t>
  </si>
  <si>
    <t>İşyeri 9712</t>
  </si>
  <si>
    <t>İngiltere</t>
  </si>
  <si>
    <t>TXN-000018</t>
  </si>
  <si>
    <t>12:32</t>
  </si>
  <si>
    <t>M-68211</t>
  </si>
  <si>
    <t>İşyeri 8668</t>
  </si>
  <si>
    <t>TXN-000019</t>
  </si>
  <si>
    <t>13:47</t>
  </si>
  <si>
    <t>M-12702</t>
  </si>
  <si>
    <t>Alıcı 1523</t>
  </si>
  <si>
    <t>ABD</t>
  </si>
  <si>
    <t>TXN-000020</t>
  </si>
  <si>
    <t>2025-03-14</t>
  </si>
  <si>
    <t>18:35</t>
  </si>
  <si>
    <t>M-92103</t>
  </si>
  <si>
    <t>İşyeri 7528</t>
  </si>
  <si>
    <t>TXN-000021</t>
  </si>
  <si>
    <t>15:29</t>
  </si>
  <si>
    <t>M-53130</t>
  </si>
  <si>
    <t>İşyeri 7851</t>
  </si>
  <si>
    <t>TXN-000022</t>
  </si>
  <si>
    <t>18:16</t>
  </si>
  <si>
    <t>M-37212</t>
  </si>
  <si>
    <t>İşyeri 4009</t>
  </si>
  <si>
    <t>TXN-000023</t>
  </si>
  <si>
    <t>05:00</t>
  </si>
  <si>
    <t>M-32214</t>
  </si>
  <si>
    <t>Alıcı 2881</t>
  </si>
  <si>
    <t>🔴 EVET</t>
  </si>
  <si>
    <t>Alışılmadık Saat</t>
  </si>
  <si>
    <t>TXN-000024</t>
  </si>
  <si>
    <t>2025-04-11</t>
  </si>
  <si>
    <t>09:21</t>
  </si>
  <si>
    <t>M-95876</t>
  </si>
  <si>
    <t>GBP</t>
  </si>
  <si>
    <t>Alıcı 5511</t>
  </si>
  <si>
    <t>Hollanda</t>
  </si>
  <si>
    <t>TXN-000025</t>
  </si>
  <si>
    <t>20:16</t>
  </si>
  <si>
    <t>M-31755</t>
  </si>
  <si>
    <t>İşyeri 1592</t>
  </si>
  <si>
    <t>TXN-000026</t>
  </si>
  <si>
    <t>14:35</t>
  </si>
  <si>
    <t>M-48293</t>
  </si>
  <si>
    <t>İşyeri 4761</t>
  </si>
  <si>
    <t>TXN-000027</t>
  </si>
  <si>
    <t>10:31</t>
  </si>
  <si>
    <t>M-32523</t>
  </si>
  <si>
    <t>İşyeri 2157</t>
  </si>
  <si>
    <t>TXN-000028</t>
  </si>
  <si>
    <t>12:44</t>
  </si>
  <si>
    <t>M-56357</t>
  </si>
  <si>
    <t>Alıcı 3243</t>
  </si>
  <si>
    <t>TXN-000029</t>
  </si>
  <si>
    <t>2025-01-05</t>
  </si>
  <si>
    <t>08:48</t>
  </si>
  <si>
    <t>M-77204</t>
  </si>
  <si>
    <t>İşyeri 3639</t>
  </si>
  <si>
    <t>TXN-000030</t>
  </si>
  <si>
    <t>17:51</t>
  </si>
  <si>
    <t>M-91928</t>
  </si>
  <si>
    <t>İşyeri 2820</t>
  </si>
  <si>
    <t>TXN-000031</t>
  </si>
  <si>
    <t>2025-04-05</t>
  </si>
  <si>
    <t>07:14</t>
  </si>
  <si>
    <t>M-59392</t>
  </si>
  <si>
    <t>Alıcı 2313</t>
  </si>
  <si>
    <t>TXN-000032</t>
  </si>
  <si>
    <t>2025-02-27</t>
  </si>
  <si>
    <t>12:49</t>
  </si>
  <si>
    <t>M-68186</t>
  </si>
  <si>
    <t>İşyeri 1747</t>
  </si>
  <si>
    <t>TXN-000033</t>
  </si>
  <si>
    <t>2025-01-13</t>
  </si>
  <si>
    <t>16:10</t>
  </si>
  <si>
    <t>M-27399</t>
  </si>
  <si>
    <t>Alıcı 5753</t>
  </si>
  <si>
    <t>TXN-000034</t>
  </si>
  <si>
    <t>2025-04-04</t>
  </si>
  <si>
    <t>20:51</t>
  </si>
  <si>
    <t>M-19476</t>
  </si>
  <si>
    <t>Alıcı 6481</t>
  </si>
  <si>
    <t>TXN-000035</t>
  </si>
  <si>
    <t>01:48</t>
  </si>
  <si>
    <t>M-45477</t>
  </si>
  <si>
    <t>İşyeri 5731</t>
  </si>
  <si>
    <t>TXN-000036</t>
  </si>
  <si>
    <t>2025-04-24</t>
  </si>
  <si>
    <t>20:32</t>
  </si>
  <si>
    <t>M-39862</t>
  </si>
  <si>
    <t>İşyeri 4476</t>
  </si>
  <si>
    <t>TXN-000037</t>
  </si>
  <si>
    <t>12:53</t>
  </si>
  <si>
    <t>M-84341</t>
  </si>
  <si>
    <t>Alıcı 1470</t>
  </si>
  <si>
    <t>TXN-000038</t>
  </si>
  <si>
    <t>16:03</t>
  </si>
  <si>
    <t>M-43370</t>
  </si>
  <si>
    <t>İşyeri 1052</t>
  </si>
  <si>
    <t>TXN-000039</t>
  </si>
  <si>
    <t>19:59</t>
  </si>
  <si>
    <t>M-68490</t>
  </si>
  <si>
    <t>Alıcı 6592</t>
  </si>
  <si>
    <t>TXN-000040</t>
  </si>
  <si>
    <t>2025-02-14</t>
  </si>
  <si>
    <t>22:58</t>
  </si>
  <si>
    <t>M-90245</t>
  </si>
  <si>
    <t>Alıcı 4811</t>
  </si>
  <si>
    <t>TXN-000041</t>
  </si>
  <si>
    <t>13:45</t>
  </si>
  <si>
    <t>M-23167</t>
  </si>
  <si>
    <t>İşyeri 3205</t>
  </si>
  <si>
    <t>TXN-000042</t>
  </si>
  <si>
    <t>M-99981</t>
  </si>
  <si>
    <t>İşyeri 9265</t>
  </si>
  <si>
    <t>TXN-000043</t>
  </si>
  <si>
    <t>14:33</t>
  </si>
  <si>
    <t>M-39723</t>
  </si>
  <si>
    <t>İşyeri 2187</t>
  </si>
  <si>
    <t>TXN-000044</t>
  </si>
  <si>
    <t>2025-03-09</t>
  </si>
  <si>
    <t>17:31</t>
  </si>
  <si>
    <t>M-34784</t>
  </si>
  <si>
    <t>Alıcı 2018</t>
  </si>
  <si>
    <t>TXN-000045</t>
  </si>
  <si>
    <t>2025-02-11</t>
  </si>
  <si>
    <t>08:42</t>
  </si>
  <si>
    <t>M-48384</t>
  </si>
  <si>
    <t>İşyeri 1166</t>
  </si>
  <si>
    <t>TXN-000046</t>
  </si>
  <si>
    <t>13:46</t>
  </si>
  <si>
    <t>M-57780</t>
  </si>
  <si>
    <t>Alıcı 5998</t>
  </si>
  <si>
    <t>İran</t>
  </si>
  <si>
    <t>Yabancı Ülke</t>
  </si>
  <si>
    <t>TXN-000047</t>
  </si>
  <si>
    <t>21:03</t>
  </si>
  <si>
    <t>M-13567</t>
  </si>
  <si>
    <t>İşyeri 7219</t>
  </si>
  <si>
    <t>TXN-000048</t>
  </si>
  <si>
    <t>17:56</t>
  </si>
  <si>
    <t>M-59186</t>
  </si>
  <si>
    <t>İşyeri 1352</t>
  </si>
  <si>
    <t>TXN-000049</t>
  </si>
  <si>
    <t>2025-02-01</t>
  </si>
  <si>
    <t>13:14</t>
  </si>
  <si>
    <t>M-55031</t>
  </si>
  <si>
    <t>İşyeri 8111</t>
  </si>
  <si>
    <t>TXN-000050</t>
  </si>
  <si>
    <t>09:44</t>
  </si>
  <si>
    <t>M-58465</t>
  </si>
  <si>
    <t>İşyeri 5306</t>
  </si>
  <si>
    <t>TXN-000051</t>
  </si>
  <si>
    <t>2025-03-11</t>
  </si>
  <si>
    <t>10:17</t>
  </si>
  <si>
    <t>M-79621</t>
  </si>
  <si>
    <t>İşyeri 5375</t>
  </si>
  <si>
    <t>TXN-000052</t>
  </si>
  <si>
    <t>15:56</t>
  </si>
  <si>
    <t>M-50214</t>
  </si>
  <si>
    <t>İşyeri 8286</t>
  </si>
  <si>
    <t>Hızlı Ardışık İşlem (3 dk içinde 5 işlem)</t>
  </si>
  <si>
    <t>TXN-000053</t>
  </si>
  <si>
    <t>15:04</t>
  </si>
  <si>
    <t>M-60256</t>
  </si>
  <si>
    <t>EUR</t>
  </si>
  <si>
    <t>Alıcı 8234</t>
  </si>
  <si>
    <t>Almanya</t>
  </si>
  <si>
    <t>TXN-000054</t>
  </si>
  <si>
    <t>14:38</t>
  </si>
  <si>
    <t>M-80069</t>
  </si>
  <si>
    <t>Alıcı 2116</t>
  </si>
  <si>
    <t>TXN-000055</t>
  </si>
  <si>
    <t>21:47</t>
  </si>
  <si>
    <t>M-74236</t>
  </si>
  <si>
    <t>İşyeri 1779</t>
  </si>
  <si>
    <t>TXN-000056</t>
  </si>
  <si>
    <t>11:55</t>
  </si>
  <si>
    <t>M-63742</t>
  </si>
  <si>
    <t>İşyeri 1290</t>
  </si>
  <si>
    <t>TXN-000057</t>
  </si>
  <si>
    <t>13:13</t>
  </si>
  <si>
    <t>M-97525</t>
  </si>
  <si>
    <t>Alıcı 4000</t>
  </si>
  <si>
    <t>TXN-000058</t>
  </si>
  <si>
    <t>16:11</t>
  </si>
  <si>
    <t>M-64443</t>
  </si>
  <si>
    <t>Alıcı 7326</t>
  </si>
  <si>
    <t>TXN-000059</t>
  </si>
  <si>
    <t>01:02</t>
  </si>
  <si>
    <t>M-78994</t>
  </si>
  <si>
    <t>İşyeri 2144</t>
  </si>
  <si>
    <t>TXN-000060</t>
  </si>
  <si>
    <t>19:08</t>
  </si>
  <si>
    <t>M-48110</t>
  </si>
  <si>
    <t>İşyeri 8338</t>
  </si>
  <si>
    <t>TXN-000061</t>
  </si>
  <si>
    <t>12:29</t>
  </si>
  <si>
    <t>M-47123</t>
  </si>
  <si>
    <t>İşyeri 3109</t>
  </si>
  <si>
    <t>TXN-000062</t>
  </si>
  <si>
    <t>09:14</t>
  </si>
  <si>
    <t>M-82847</t>
  </si>
  <si>
    <t>İşyeri 6533</t>
  </si>
  <si>
    <t>TXN-000063</t>
  </si>
  <si>
    <t>09:00</t>
  </si>
  <si>
    <t>M-65324</t>
  </si>
  <si>
    <t>Alıcı 2370</t>
  </si>
  <si>
    <t>TXN-000064</t>
  </si>
  <si>
    <t>09:49</t>
  </si>
  <si>
    <t>M-41679</t>
  </si>
  <si>
    <t>İşyeri 5224</t>
  </si>
  <si>
    <t>Yüksek Tutar</t>
  </si>
  <si>
    <t>TXN-000065</t>
  </si>
  <si>
    <t>2025-03-23</t>
  </si>
  <si>
    <t>12:52</t>
  </si>
  <si>
    <t>M-82741</t>
  </si>
  <si>
    <t>İşyeri 6302</t>
  </si>
  <si>
    <t>Limit Aşımı</t>
  </si>
  <si>
    <t>TXN-000066</t>
  </si>
  <si>
    <t>16:25</t>
  </si>
  <si>
    <t>M-53880</t>
  </si>
  <si>
    <t>Alıcı 8856</t>
  </si>
  <si>
    <t>TXN-000067</t>
  </si>
  <si>
    <t>13:22</t>
  </si>
  <si>
    <t>M-27133</t>
  </si>
  <si>
    <t>Alıcı 4793</t>
  </si>
  <si>
    <t>TXN-000068</t>
  </si>
  <si>
    <t>2025-04-26</t>
  </si>
  <si>
    <t>22:10</t>
  </si>
  <si>
    <t>M-89132</t>
  </si>
  <si>
    <t>İşyeri 9747</t>
  </si>
  <si>
    <t>TXN-000069</t>
  </si>
  <si>
    <t>2025-01-01</t>
  </si>
  <si>
    <t>18:09</t>
  </si>
  <si>
    <t>M-26818</t>
  </si>
  <si>
    <t>İşyeri 6235</t>
  </si>
  <si>
    <t>TXN-000070</t>
  </si>
  <si>
    <t>18:11</t>
  </si>
  <si>
    <t>M-82557</t>
  </si>
  <si>
    <t>İşyeri 5842</t>
  </si>
  <si>
    <t>TXN-000071</t>
  </si>
  <si>
    <t>20:12</t>
  </si>
  <si>
    <t>M-93324</t>
  </si>
  <si>
    <t>İşyeri 8779</t>
  </si>
  <si>
    <t>TXN-000072</t>
  </si>
  <si>
    <t>2025-04-13</t>
  </si>
  <si>
    <t>19:23</t>
  </si>
  <si>
    <t>M-87610</t>
  </si>
  <si>
    <t>İşyeri 6762</t>
  </si>
  <si>
    <t>TXN-000073</t>
  </si>
  <si>
    <t>15:43</t>
  </si>
  <si>
    <t>M-22924</t>
  </si>
  <si>
    <t>Alıcı 4881</t>
  </si>
  <si>
    <t>TXN-000074</t>
  </si>
  <si>
    <t>16:59</t>
  </si>
  <si>
    <t>M-46193</t>
  </si>
  <si>
    <t>İşyeri 5704</t>
  </si>
  <si>
    <t>TXN-000075</t>
  </si>
  <si>
    <t>15:09</t>
  </si>
  <si>
    <t>M-42367</t>
  </si>
  <si>
    <t>İşyeri 5343</t>
  </si>
  <si>
    <t>TXN-000076</t>
  </si>
  <si>
    <t>2025-04-10</t>
  </si>
  <si>
    <t>19:05</t>
  </si>
  <si>
    <t>M-55301</t>
  </si>
  <si>
    <t>Alıcı 2086</t>
  </si>
  <si>
    <t>TXN-000077</t>
  </si>
  <si>
    <t>2025-02-10</t>
  </si>
  <si>
    <t>08:08</t>
  </si>
  <si>
    <t>M-69471</t>
  </si>
  <si>
    <t>Alıcı 6820</t>
  </si>
  <si>
    <t>TXN-000078</t>
  </si>
  <si>
    <t>2025-01-25</t>
  </si>
  <si>
    <t>M-38325</t>
  </si>
  <si>
    <t>Alıcı 8506</t>
  </si>
  <si>
    <t>TXN-000079</t>
  </si>
  <si>
    <t>M-15854</t>
  </si>
  <si>
    <t>İşyeri 4022</t>
  </si>
  <si>
    <t>TXN-000080</t>
  </si>
  <si>
    <t>16:53</t>
  </si>
  <si>
    <t>M-89796</t>
  </si>
  <si>
    <t>Alıcı 1533</t>
  </si>
  <si>
    <t>TXN-000081</t>
  </si>
  <si>
    <t>19:54</t>
  </si>
  <si>
    <t>M-58682</t>
  </si>
  <si>
    <t>İşyeri 6711</t>
  </si>
  <si>
    <t>TXN-000082</t>
  </si>
  <si>
    <t>17:36</t>
  </si>
  <si>
    <t>M-58876</t>
  </si>
  <si>
    <t>İşyeri 3909</t>
  </si>
  <si>
    <t>TXN-000083</t>
  </si>
  <si>
    <t>22:53</t>
  </si>
  <si>
    <t>M-20403</t>
  </si>
  <si>
    <t>İşyeri 5969</t>
  </si>
  <si>
    <t>TXN-000084</t>
  </si>
  <si>
    <t>M-13974</t>
  </si>
  <si>
    <t>İşyeri 3611</t>
  </si>
  <si>
    <t>TXN-000085</t>
  </si>
  <si>
    <t>2025-02-17</t>
  </si>
  <si>
    <t>16:16</t>
  </si>
  <si>
    <t>M-52187</t>
  </si>
  <si>
    <t>İşyeri 5344</t>
  </si>
  <si>
    <t>TXN-000086</t>
  </si>
  <si>
    <t>2025-02-12</t>
  </si>
  <si>
    <t>07:09</t>
  </si>
  <si>
    <t>M-81689</t>
  </si>
  <si>
    <t>İşyeri 6218</t>
  </si>
  <si>
    <t>TXN-000087</t>
  </si>
  <si>
    <t>2025-02-21</t>
  </si>
  <si>
    <t>M-28490</t>
  </si>
  <si>
    <t>Alıcı 3512</t>
  </si>
  <si>
    <t>TXN-000088</t>
  </si>
  <si>
    <t>2025-01-07</t>
  </si>
  <si>
    <t>M-65512</t>
  </si>
  <si>
    <t>İşyeri 2466</t>
  </si>
  <si>
    <t>TXN-000089</t>
  </si>
  <si>
    <t>19:10</t>
  </si>
  <si>
    <t>M-42043</t>
  </si>
  <si>
    <t>İşyeri 4023</t>
  </si>
  <si>
    <t>TXN-000090</t>
  </si>
  <si>
    <t>09:40</t>
  </si>
  <si>
    <t>M-71698</t>
  </si>
  <si>
    <t>İşyeri 8171</t>
  </si>
  <si>
    <t>TXN-000091</t>
  </si>
  <si>
    <t>12:41</t>
  </si>
  <si>
    <t>M-82897</t>
  </si>
  <si>
    <t>İşyeri 6227</t>
  </si>
  <si>
    <t>TXN-000092</t>
  </si>
  <si>
    <t>11:30</t>
  </si>
  <si>
    <t>M-84541</t>
  </si>
  <si>
    <t>İşyeri 8603</t>
  </si>
  <si>
    <t>TXN-000093</t>
  </si>
  <si>
    <t>2025-04-06</t>
  </si>
  <si>
    <t>22:38</t>
  </si>
  <si>
    <t>M-88091</t>
  </si>
  <si>
    <t>İşyeri 2607</t>
  </si>
  <si>
    <t>TXN-000094</t>
  </si>
  <si>
    <t>21:12</t>
  </si>
  <si>
    <t>M-25899</t>
  </si>
  <si>
    <t>İşyeri 8142</t>
  </si>
  <si>
    <t>TXN-000095</t>
  </si>
  <si>
    <t>13:08</t>
  </si>
  <si>
    <t>M-25955</t>
  </si>
  <si>
    <t>İşyeri 2851</t>
  </si>
  <si>
    <t>TXN-000096</t>
  </si>
  <si>
    <t>11:14</t>
  </si>
  <si>
    <t>M-43271</t>
  </si>
  <si>
    <t>Alıcı 1711</t>
  </si>
  <si>
    <t>TXN-000097</t>
  </si>
  <si>
    <t>08:12</t>
  </si>
  <si>
    <t>M-38798</t>
  </si>
  <si>
    <t>İşyeri 4013</t>
  </si>
  <si>
    <t>TXN-000098</t>
  </si>
  <si>
    <t>01:41</t>
  </si>
  <si>
    <t>M-58070</t>
  </si>
  <si>
    <t>İşyeri 8403</t>
  </si>
  <si>
    <t>TXN-000099</t>
  </si>
  <si>
    <t>08:52</t>
  </si>
  <si>
    <t>M-37983</t>
  </si>
  <si>
    <t>İşyeri 8714</t>
  </si>
  <si>
    <t>TXN-000100</t>
  </si>
  <si>
    <t>22:41</t>
  </si>
  <si>
    <t>M-74785</t>
  </si>
  <si>
    <t>Alıcı 9780</t>
  </si>
  <si>
    <t>TXN-000101</t>
  </si>
  <si>
    <t>17:06</t>
  </si>
  <si>
    <t>M-13701</t>
  </si>
  <si>
    <t>İşyeri 3865</t>
  </si>
  <si>
    <t>TXN-000102</t>
  </si>
  <si>
    <t>18:37</t>
  </si>
  <si>
    <t>M-54445</t>
  </si>
  <si>
    <t>İşyeri 7391</t>
  </si>
  <si>
    <t>TXN-000103</t>
  </si>
  <si>
    <t>M-80584</t>
  </si>
  <si>
    <t>Alıcı 2180</t>
  </si>
  <si>
    <t>TXN-000104</t>
  </si>
  <si>
    <t>02:35</t>
  </si>
  <si>
    <t>M-60956</t>
  </si>
  <si>
    <t>İşyeri 5115</t>
  </si>
  <si>
    <t>TXN-000105</t>
  </si>
  <si>
    <t>M-95336</t>
  </si>
  <si>
    <t>Alıcı 7177</t>
  </si>
  <si>
    <t>TXN-000106</t>
  </si>
  <si>
    <t>12:10</t>
  </si>
  <si>
    <t>M-85921</t>
  </si>
  <si>
    <t>Alıcı 6000</t>
  </si>
  <si>
    <t>TXN-000107</t>
  </si>
  <si>
    <t>2025-04-12</t>
  </si>
  <si>
    <t>11:03</t>
  </si>
  <si>
    <t>M-27942</t>
  </si>
  <si>
    <t>İşyeri 5050</t>
  </si>
  <si>
    <t>TXN-000108</t>
  </si>
  <si>
    <t>08:15</t>
  </si>
  <si>
    <t>M-43204</t>
  </si>
  <si>
    <t>İşyeri 3883</t>
  </si>
  <si>
    <t>TXN-000109</t>
  </si>
  <si>
    <t>M-60392</t>
  </si>
  <si>
    <t>İşyeri 4517</t>
  </si>
  <si>
    <t>TXN-000110</t>
  </si>
  <si>
    <t>2025-04-14</t>
  </si>
  <si>
    <t>15:26</t>
  </si>
  <si>
    <t>M-35767</t>
  </si>
  <si>
    <t>İşyeri 9496</t>
  </si>
  <si>
    <t>TXN-000111</t>
  </si>
  <si>
    <t>2025-02-02</t>
  </si>
  <si>
    <t>17:29</t>
  </si>
  <si>
    <t>M-36899</t>
  </si>
  <si>
    <t>Alıcı 3862</t>
  </si>
  <si>
    <t>TXN-000112</t>
  </si>
  <si>
    <t>15:55</t>
  </si>
  <si>
    <t>M-67326</t>
  </si>
  <si>
    <t>Alıcı 1257</t>
  </si>
  <si>
    <t>TXN-000113</t>
  </si>
  <si>
    <t>10:04</t>
  </si>
  <si>
    <t>M-19025</t>
  </si>
  <si>
    <t>Alıcı 7085</t>
  </si>
  <si>
    <t>TXN-000114</t>
  </si>
  <si>
    <t>12:28</t>
  </si>
  <si>
    <t>M-60516</t>
  </si>
  <si>
    <t>Alıcı 4210</t>
  </si>
  <si>
    <t>TXN-000115</t>
  </si>
  <si>
    <t>09:22</t>
  </si>
  <si>
    <t>M-32816</t>
  </si>
  <si>
    <t>İşyeri 4545</t>
  </si>
  <si>
    <t>TXN-000116</t>
  </si>
  <si>
    <t>08:32</t>
  </si>
  <si>
    <t>M-82280</t>
  </si>
  <si>
    <t>İşyeri 2813</t>
  </si>
  <si>
    <t>TXN-000117</t>
  </si>
  <si>
    <t>13:07</t>
  </si>
  <si>
    <t>M-14416</t>
  </si>
  <si>
    <t>İşyeri 4305</t>
  </si>
  <si>
    <t>TXN-000118</t>
  </si>
  <si>
    <t>20:53</t>
  </si>
  <si>
    <t>M-20147</t>
  </si>
  <si>
    <t>İşyeri 9479</t>
  </si>
  <si>
    <t>TXN-000119</t>
  </si>
  <si>
    <t>21:43</t>
  </si>
  <si>
    <t>M-89726</t>
  </si>
  <si>
    <t>İşyeri 5158</t>
  </si>
  <si>
    <t>TXN-000120</t>
  </si>
  <si>
    <t>21:34</t>
  </si>
  <si>
    <t>M-55124</t>
  </si>
  <si>
    <t>İşyeri 3214</t>
  </si>
  <si>
    <t>TXN-000121</t>
  </si>
  <si>
    <t>12:38</t>
  </si>
  <si>
    <t>M-40867</t>
  </si>
  <si>
    <t>İşyeri 5769</t>
  </si>
  <si>
    <t>TXN-000122</t>
  </si>
  <si>
    <t>2025-01-26</t>
  </si>
  <si>
    <t>M-34351</t>
  </si>
  <si>
    <t>İşyeri 4240</t>
  </si>
  <si>
    <t>TXN-000123</t>
  </si>
  <si>
    <t>18:08</t>
  </si>
  <si>
    <t>M-30257</t>
  </si>
  <si>
    <t>İşyeri 3758</t>
  </si>
  <si>
    <t>TXN-000124</t>
  </si>
  <si>
    <t>14:13</t>
  </si>
  <si>
    <t>M-97563</t>
  </si>
  <si>
    <t>İşyeri 2664</t>
  </si>
  <si>
    <t>TXN-000125</t>
  </si>
  <si>
    <t>M-46467</t>
  </si>
  <si>
    <t>İşyeri 5984</t>
  </si>
  <si>
    <t>TXN-000126</t>
  </si>
  <si>
    <t>21:17</t>
  </si>
  <si>
    <t>M-12307</t>
  </si>
  <si>
    <t>İşyeri 3088</t>
  </si>
  <si>
    <t>TXN-000127</t>
  </si>
  <si>
    <t>09:08</t>
  </si>
  <si>
    <t>M-61003</t>
  </si>
  <si>
    <t>İşyeri 3557</t>
  </si>
  <si>
    <t>TXN-000128</t>
  </si>
  <si>
    <t>10:30</t>
  </si>
  <si>
    <t>M-23713</t>
  </si>
  <si>
    <t>İşyeri 7536</t>
  </si>
  <si>
    <t>TXN-000129</t>
  </si>
  <si>
    <t>2025-04-17</t>
  </si>
  <si>
    <t>07:39</t>
  </si>
  <si>
    <t>M-20988</t>
  </si>
  <si>
    <t>İşyeri 5001</t>
  </si>
  <si>
    <t>TXN-000130</t>
  </si>
  <si>
    <t>10:44</t>
  </si>
  <si>
    <t>M-98791</t>
  </si>
  <si>
    <t>Alıcı 5660</t>
  </si>
  <si>
    <t>TXN-000131</t>
  </si>
  <si>
    <t>14:36</t>
  </si>
  <si>
    <t>Alıcı 8573</t>
  </si>
  <si>
    <t>TXN-000132</t>
  </si>
  <si>
    <t>08:11</t>
  </si>
  <si>
    <t>M-37049</t>
  </si>
  <si>
    <t>Alıcı 9730</t>
  </si>
  <si>
    <t>TXN-000133</t>
  </si>
  <si>
    <t>13:36</t>
  </si>
  <si>
    <t>M-66027</t>
  </si>
  <si>
    <t>İşyeri 6430</t>
  </si>
  <si>
    <t>TXN-000134</t>
  </si>
  <si>
    <t>M-76142</t>
  </si>
  <si>
    <t>Alıcı 9398</t>
  </si>
  <si>
    <t>TXN-000135</t>
  </si>
  <si>
    <t>13:55</t>
  </si>
  <si>
    <t>M-83412</t>
  </si>
  <si>
    <t>İşyeri 6343</t>
  </si>
  <si>
    <t>TXN-000136</t>
  </si>
  <si>
    <t>11:47</t>
  </si>
  <si>
    <t>M-40235</t>
  </si>
  <si>
    <t>İşyeri 5139</t>
  </si>
  <si>
    <t>TXN-000137</t>
  </si>
  <si>
    <t>18:04</t>
  </si>
  <si>
    <t>M-91375</t>
  </si>
  <si>
    <t>Alıcı 9750</t>
  </si>
  <si>
    <t>TXN-000138</t>
  </si>
  <si>
    <t>2025-04-15</t>
  </si>
  <si>
    <t>08:43</t>
  </si>
  <si>
    <t>M-38667</t>
  </si>
  <si>
    <t>Alıcı 7723</t>
  </si>
  <si>
    <t>TXN-000139</t>
  </si>
  <si>
    <t>M-19919</t>
  </si>
  <si>
    <t>İşyeri 3808</t>
  </si>
  <si>
    <t>TXN-000140</t>
  </si>
  <si>
    <t>17:24</t>
  </si>
  <si>
    <t>M-95221</t>
  </si>
  <si>
    <t>İşyeri 8852</t>
  </si>
  <si>
    <t>TXN-000141</t>
  </si>
  <si>
    <t>20:35</t>
  </si>
  <si>
    <t>M-62933</t>
  </si>
  <si>
    <t>İşyeri 6259</t>
  </si>
  <si>
    <t>TXN-000142</t>
  </si>
  <si>
    <t>10:15</t>
  </si>
  <si>
    <t>M-71941</t>
  </si>
  <si>
    <t>İşyeri 3576</t>
  </si>
  <si>
    <t>TXN-000143</t>
  </si>
  <si>
    <t>08:33</t>
  </si>
  <si>
    <t>M-51610</t>
  </si>
  <si>
    <t>İşyeri 8743</t>
  </si>
  <si>
    <t>TXN-000144</t>
  </si>
  <si>
    <t>16:58</t>
  </si>
  <si>
    <t>M-93069</t>
  </si>
  <si>
    <t>İşyeri 5411</t>
  </si>
  <si>
    <t>TXN-000145</t>
  </si>
  <si>
    <t>2025-04-19</t>
  </si>
  <si>
    <t>19:02</t>
  </si>
  <si>
    <t>M-36437</t>
  </si>
  <si>
    <t>Alıcı 4549</t>
  </si>
  <si>
    <t>TXN-000146</t>
  </si>
  <si>
    <t>17:07</t>
  </si>
  <si>
    <t>M-71988</t>
  </si>
  <si>
    <t>Alıcı 1957</t>
  </si>
  <si>
    <t>TXN-000147</t>
  </si>
  <si>
    <t>19:14</t>
  </si>
  <si>
    <t>M-39607</t>
  </si>
  <si>
    <t>İşyeri 1348</t>
  </si>
  <si>
    <t>TXN-000148</t>
  </si>
  <si>
    <t>18:30</t>
  </si>
  <si>
    <t>M-36044</t>
  </si>
  <si>
    <t>İşyeri 2577</t>
  </si>
  <si>
    <t>TXN-000149</t>
  </si>
  <si>
    <t>M-58496</t>
  </si>
  <si>
    <t>İşyeri 1000</t>
  </si>
  <si>
    <t>TXN-000150</t>
  </si>
  <si>
    <t>M-11104</t>
  </si>
  <si>
    <t>İşyeri 7081</t>
  </si>
  <si>
    <t>TXN-000151</t>
  </si>
  <si>
    <t>2025-02-28</t>
  </si>
  <si>
    <t>M-85723</t>
  </si>
  <si>
    <t>İşyeri 1629</t>
  </si>
  <si>
    <t>TXN-000152</t>
  </si>
  <si>
    <t>M-52859</t>
  </si>
  <si>
    <t>İşyeri 5010</t>
  </si>
  <si>
    <t>TXN-000153</t>
  </si>
  <si>
    <t>16:06</t>
  </si>
  <si>
    <t>M-79725</t>
  </si>
  <si>
    <t>Alıcı 2730</t>
  </si>
  <si>
    <t>TXN-000154</t>
  </si>
  <si>
    <t>21:14</t>
  </si>
  <si>
    <t>M-30317</t>
  </si>
  <si>
    <t>İşyeri 9345</t>
  </si>
  <si>
    <t>TXN-000155</t>
  </si>
  <si>
    <t>09:13</t>
  </si>
  <si>
    <t>M-87218</t>
  </si>
  <si>
    <t>İşyeri 5413</t>
  </si>
  <si>
    <t>TXN-000156</t>
  </si>
  <si>
    <t>07:10</t>
  </si>
  <si>
    <t>M-89438</t>
  </si>
  <si>
    <t>Alıcı 9381</t>
  </si>
  <si>
    <t>TXN-000157</t>
  </si>
  <si>
    <t>19:45</t>
  </si>
  <si>
    <t>M-68413</t>
  </si>
  <si>
    <t>İşyeri 6056</t>
  </si>
  <si>
    <t>TXN-000158</t>
  </si>
  <si>
    <t>10:00</t>
  </si>
  <si>
    <t>M-87188</t>
  </si>
  <si>
    <t>Alıcı 4933</t>
  </si>
  <si>
    <t>TXN-000159</t>
  </si>
  <si>
    <t>09:57</t>
  </si>
  <si>
    <t>M-26901</t>
  </si>
  <si>
    <t>Alıcı 6558</t>
  </si>
  <si>
    <t>TXN-000160</t>
  </si>
  <si>
    <t>12:14</t>
  </si>
  <si>
    <t>M-66348</t>
  </si>
  <si>
    <t>İşyeri 1756</t>
  </si>
  <si>
    <t>TXN-000161</t>
  </si>
  <si>
    <t>2025-01-24</t>
  </si>
  <si>
    <t>17:01</t>
  </si>
  <si>
    <t>M-66494</t>
  </si>
  <si>
    <t>İşyeri 4155</t>
  </si>
  <si>
    <t>TXN-000162</t>
  </si>
  <si>
    <t>20:15</t>
  </si>
  <si>
    <t>M-86055</t>
  </si>
  <si>
    <t>İşyeri 1883</t>
  </si>
  <si>
    <t>TXN-000163</t>
  </si>
  <si>
    <t>09:38</t>
  </si>
  <si>
    <t>M-98922</t>
  </si>
  <si>
    <t>Alıcı 9854</t>
  </si>
  <si>
    <t>TXN-000164</t>
  </si>
  <si>
    <t>14:22</t>
  </si>
  <si>
    <t>M-67878</t>
  </si>
  <si>
    <t>İşyeri 4327</t>
  </si>
  <si>
    <t>TXN-000165</t>
  </si>
  <si>
    <t>19:29</t>
  </si>
  <si>
    <t>M-44191</t>
  </si>
  <si>
    <t>İşyeri 4604</t>
  </si>
  <si>
    <t>TXN-000166</t>
  </si>
  <si>
    <t>18:13</t>
  </si>
  <si>
    <t>M-85885</t>
  </si>
  <si>
    <t>İşyeri 5823</t>
  </si>
  <si>
    <t>TXN-000167</t>
  </si>
  <si>
    <t>2025-03-28</t>
  </si>
  <si>
    <t>18:12</t>
  </si>
  <si>
    <t>M-44099</t>
  </si>
  <si>
    <t>İşyeri 1820</t>
  </si>
  <si>
    <t>TXN-000168</t>
  </si>
  <si>
    <t>13:49</t>
  </si>
  <si>
    <t>M-68812</t>
  </si>
  <si>
    <t>Alıcı 2580</t>
  </si>
  <si>
    <t>TXN-000169</t>
  </si>
  <si>
    <t>14:03</t>
  </si>
  <si>
    <t>M-13589</t>
  </si>
  <si>
    <t>İşyeri 1564</t>
  </si>
  <si>
    <t>TXN-000170</t>
  </si>
  <si>
    <t>M-78479</t>
  </si>
  <si>
    <t>İşyeri 5245</t>
  </si>
  <si>
    <t>TXN-000171</t>
  </si>
  <si>
    <t>19:07</t>
  </si>
  <si>
    <t>M-22790</t>
  </si>
  <si>
    <t>Alıcı 4149</t>
  </si>
  <si>
    <t>TXN-000172</t>
  </si>
  <si>
    <t>11:35</t>
  </si>
  <si>
    <t>M-79808</t>
  </si>
  <si>
    <t>İşyeri 4039</t>
  </si>
  <si>
    <t>TXN-000173</t>
  </si>
  <si>
    <t>18:21</t>
  </si>
  <si>
    <t>M-44781</t>
  </si>
  <si>
    <t>Alıcı 6965</t>
  </si>
  <si>
    <t>TXN-000174</t>
  </si>
  <si>
    <t>13:20</t>
  </si>
  <si>
    <t>M-47866</t>
  </si>
  <si>
    <t>İşyeri 7608</t>
  </si>
  <si>
    <t>TXN-000175</t>
  </si>
  <si>
    <t>17:39</t>
  </si>
  <si>
    <t>M-10209</t>
  </si>
  <si>
    <t>İşyeri 3272</t>
  </si>
  <si>
    <t>TXN-000176</t>
  </si>
  <si>
    <t>21:22</t>
  </si>
  <si>
    <t>M-18619</t>
  </si>
  <si>
    <t>İşyeri 7272</t>
  </si>
  <si>
    <t>TXN-000177</t>
  </si>
  <si>
    <t>M-86960</t>
  </si>
  <si>
    <t>İşyeri 3534</t>
  </si>
  <si>
    <t>TXN-000178</t>
  </si>
  <si>
    <t>12:51</t>
  </si>
  <si>
    <t>M-68194</t>
  </si>
  <si>
    <t>İşyeri 1673</t>
  </si>
  <si>
    <t>TXN-000179</t>
  </si>
  <si>
    <t>07:03</t>
  </si>
  <si>
    <t>M-65751</t>
  </si>
  <si>
    <t>İşyeri 7291</t>
  </si>
  <si>
    <t>TXN-000180</t>
  </si>
  <si>
    <t>01:50</t>
  </si>
  <si>
    <t>M-26354</t>
  </si>
  <si>
    <t>İşyeri 8935</t>
  </si>
  <si>
    <t>TXN-000181</t>
  </si>
  <si>
    <t>08:04</t>
  </si>
  <si>
    <t>M-16374</t>
  </si>
  <si>
    <t>İşyeri 2075</t>
  </si>
  <si>
    <t>TXN-000182</t>
  </si>
  <si>
    <t>14:41</t>
  </si>
  <si>
    <t>M-56651</t>
  </si>
  <si>
    <t>İşyeri 5186</t>
  </si>
  <si>
    <t>TXN-000183</t>
  </si>
  <si>
    <t>17:42</t>
  </si>
  <si>
    <t>M-28107</t>
  </si>
  <si>
    <t>İşyeri 8320</t>
  </si>
  <si>
    <t>TXN-000184</t>
  </si>
  <si>
    <t>21:06</t>
  </si>
  <si>
    <t>M-24640</t>
  </si>
  <si>
    <t>Alıcı 2256</t>
  </si>
  <si>
    <t>TXN-000185</t>
  </si>
  <si>
    <t>19:12</t>
  </si>
  <si>
    <t>M-55822</t>
  </si>
  <si>
    <t>İşyeri 5068</t>
  </si>
  <si>
    <t>TXN-000186</t>
  </si>
  <si>
    <t>08:03</t>
  </si>
  <si>
    <t>M-89488</t>
  </si>
  <si>
    <t>Alıcı 1164</t>
  </si>
  <si>
    <t>TXN-000187</t>
  </si>
  <si>
    <t>18:19</t>
  </si>
  <si>
    <t>M-47486</t>
  </si>
  <si>
    <t>İşyeri 3220</t>
  </si>
  <si>
    <t>TXN-000188</t>
  </si>
  <si>
    <t>2025-04-23</t>
  </si>
  <si>
    <t>15:12</t>
  </si>
  <si>
    <t>M-99483</t>
  </si>
  <si>
    <t>İşyeri 1229</t>
  </si>
  <si>
    <t>TXN-000189</t>
  </si>
  <si>
    <t>20:19</t>
  </si>
  <si>
    <t>M-52523</t>
  </si>
  <si>
    <t>Alıcı 9782</t>
  </si>
  <si>
    <t>TXN-000190</t>
  </si>
  <si>
    <t>M-25039</t>
  </si>
  <si>
    <t>İşyeri 7758</t>
  </si>
  <si>
    <t>TXN-000191</t>
  </si>
  <si>
    <t>M-62662</t>
  </si>
  <si>
    <t>Alıcı 4906</t>
  </si>
  <si>
    <t>TXN-000192</t>
  </si>
  <si>
    <t>2025-04-20</t>
  </si>
  <si>
    <t>22:59</t>
  </si>
  <si>
    <t>M-76536</t>
  </si>
  <si>
    <t>İşyeri 6033</t>
  </si>
  <si>
    <t>TXN-000193</t>
  </si>
  <si>
    <t>10:41</t>
  </si>
  <si>
    <t>M-33913</t>
  </si>
  <si>
    <t>Alıcı 6194</t>
  </si>
  <si>
    <t>TXN-000194</t>
  </si>
  <si>
    <t>M-34876</t>
  </si>
  <si>
    <t>İşyeri 8029</t>
  </si>
  <si>
    <t>TXN-000195</t>
  </si>
  <si>
    <t>22:22</t>
  </si>
  <si>
    <t>M-41949</t>
  </si>
  <si>
    <t>İşyeri 4896</t>
  </si>
  <si>
    <t>TXN-000196</t>
  </si>
  <si>
    <t>11:50</t>
  </si>
  <si>
    <t>M-12965</t>
  </si>
  <si>
    <t>İşyeri 2587</t>
  </si>
  <si>
    <t>TXN-000197</t>
  </si>
  <si>
    <t>15:59</t>
  </si>
  <si>
    <t>M-94446</t>
  </si>
  <si>
    <t>Alıcı 7519</t>
  </si>
  <si>
    <t>TXN-000198</t>
  </si>
  <si>
    <t>21:54</t>
  </si>
  <si>
    <t>M-36198</t>
  </si>
  <si>
    <t>İşyeri 9785</t>
  </si>
  <si>
    <t>TXN-000199</t>
  </si>
  <si>
    <t>09:54</t>
  </si>
  <si>
    <t>M-59214</t>
  </si>
  <si>
    <t>İşyeri 8451</t>
  </si>
  <si>
    <t>TXN-000200</t>
  </si>
  <si>
    <t>12:21</t>
  </si>
  <si>
    <t>M-52407</t>
  </si>
  <si>
    <t>Alıcı 4802</t>
  </si>
  <si>
    <t>📝 PROMPT KÜTÜPHANESİ — 35 Hazır Şablon | 6 Kategori</t>
  </si>
  <si>
    <t>#</t>
  </si>
  <si>
    <t>Kategori</t>
  </si>
  <si>
    <t>Şablon Adı</t>
  </si>
  <si>
    <t>Hazır Prompt Metni (Kopyalayın, [PARANTEZ]leri Doldurun)</t>
  </si>
  <si>
    <t>Teknik</t>
  </si>
  <si>
    <t>Zorluk</t>
  </si>
  <si>
    <t>Kredi &amp; Risk</t>
  </si>
  <si>
    <t>Bireysel Kredi Ön Değerlendirme</t>
  </si>
  <si>
    <t>Kıdemli bir kredi risk analisti olarak aşağıdaki bireysel kredi başvurusunu değerlendir.
Başvuru Sahibi: [AD SOYAD], [YAŞ] yaş, [MESLEK]
Çalışma Süresi: [X] yıl (aynı işyeri)
Aylık Net Gelir: [GELİR] TL
Aylık Gider: [GİDER] TL
Mevcut Borç: [BORÇ] TL
Kredi Notu (Findeks): [SKOR]
İstenen Tutar: [TUTAR] TL | Vade: [VADEay
Çıktı formatı:
- KARAR: Onayla / Koşullu Onayla / Reddet
- RİSK SKORU: 1-10 (1=düşük risk)
- GEREKÇE: 3 madde (sayısal destekli)
- KOŞUL (varsa): Ekstra teminat veya faiz düzeltmesi önerisi</t>
  </si>
  <si>
    <t>Zero-Shot</t>
  </si>
  <si>
    <t>Başlangıç</t>
  </si>
  <si>
    <t>KOBİ Kredi Analizi – Sektör Odaklı</t>
  </si>
  <si>
    <t>Kıdemli KOBİ kredi analisti olarak aşağıdaki kurumsal başvuruyu değerlendir.
Firma: [FİRMA ADI] | Sektör: [SEKTÖR] | Kuruluş: [YIL]
Yıllık Ciro: [CİRO] TL | Net Kâr Marjı: %[MARJ]
Borç/Özsermaye Oranı: [ORAN] | Personel: [SAYI] kişi
Mevcut banka borcu: [BORÇ] TL
İstenen kredi: [TUTAR] TL ([AMAÇ] için)
Adım adım düşün:
1. Sektör risk profili nedir?
2. Finansal oranlar kabul edilebilir mi?
3. Firmanın büyüme trendi nereye işaret ediyor?
4. Geri ödeme kapasitesi yeterli mi?
Sonuç: Karar + risk derecesi + 3 koşul/öneri</t>
  </si>
  <si>
    <t>Chain-of-Thought</t>
  </si>
  <si>
    <t>Portföy Stres Testi Yorumu</t>
  </si>
  <si>
    <t>Risk yöneticisi olarak aşağıdaki kredi portföyü stres testi sonuçlarını yorumla.
Portföy Büyüklüğü: [TUTAR] TL
Senaryo 1 (Baz): NPL Oranı %[S1], Karşılık %[K1]
Senaryo 2 (Negatif): NPL Oranı %[S2], Karşılık %[K2]
Senaryo 3 (Ağır Stres): NPL Oranı %[S3], Karşılık %[K3]
Değerlendirmeni şu başlıklarda yap:
• En kritik risk faktörleri (3 madde)
• Sermaye yeterliliğine etkisi
• Yönetim komitesine önerileri (3 eylem maddesi)
Ton: Resmi, sayısal, komite diline uygun</t>
  </si>
  <si>
    <t>İleri</t>
  </si>
  <si>
    <t>Teminat Değerleme Özeti</t>
  </si>
  <si>
    <t>Kredi değerlendirme uzmanı olarak aşağıdaki teminat bilgilerini analiz et.
Teminat Türü: [TÜR]
Rayiç Bedel: [BEDEL] TL (Tarih: [TARİH])
Tapu/Mülkiyet Durumu: [DURUM]
İpotek Sırası: [SIRA]. sıra | Mevcut İpotek Tutarı: [İPOTEK] TL
Kredi tutarı: [KREDİ] TL
Çıktı:
- Teminat Kapsamı: %[X] (yeterli/yetersiz)
- Likidite Değerlendirmesi: Kolay/Orta/Zor paraya çevrilebilir
- Öneri: Kabul et / Ek teminat iste / Reddet</t>
  </si>
  <si>
    <t>Çok Senaryolu Karar Analizi</t>
  </si>
  <si>
    <t>Risk komitesi danışmanı olarak bu kredi başvurusu için 3 farklı senaryo geliştir.
Başvuru: [ÖZET BİLGİ]
Her senaryo için şunları belirt:
SENARYO 1 – OPTİMİST: Olumlu koşullar, en iyi çıktı, karar
SENARYO 2 – BEKLENEN: Mevcut koşullar, olası çıktı, karar
SENARYO 3 – PESİMİST: Olumsuz koşullar, en kötü çıktı, karar
Her senaryo: Risk oranı + Geri ödeme olasılığı + Karar
Son olarak: Hangi senaryoyu baz alıyorsunuz ve neden?</t>
  </si>
  <si>
    <t>Tree-of-Thought</t>
  </si>
  <si>
    <t>Müşteri İletişimi</t>
  </si>
  <si>
    <t>Şikayet Yanıt E-postası</t>
  </si>
  <si>
    <t>Banka müşteri ilişkileri uzmanı olarak aşağıdaki şikayete resmi Türkçe e-posta yaz.
Müşteri Şikayeti: [ŞİKAYET METNİ]
Müşteri Segmenti: [BİREYSEL / KURUMSAL]
Şikayet Kategorisi: [KATEGORİ]
Çözüm Durumu: [ÇÖZÜLDÜ / İŞLEMDE / ARAŞTIRILIYOR]
E-posta yapısı:
1. Empati ve özür (1-2 cümle)
2. Durumun kısa açıklaması
3. Yapılan/yapılacak eylem ve süre
4. Telafi varsa belirt
5. İletişim bilgisi ve kapanış
Ton: Sıcak, profesyonel, özür diler ama savunmacı değil
Uzunluk: Max 200 kelime</t>
  </si>
  <si>
    <t>Role Prompting</t>
  </si>
  <si>
    <t>Şikayet Kategorilendirme (Few-Shot)</t>
  </si>
  <si>
    <t>Aşağıdaki örneklere bakarak yeni müşteri şikayetini sınıflandır.
ÖRNEK 1: "ATM'den para çekemedim" → KATEGORİ: Teknik Arıza | ÖNCELİK: Yüksek
ÖRNEK 2: "Faiz oranları hakkında bilgi almak istiyorum" → KATEGORİ: Bilgi Talebi | ÖNCELİK: Düşük
ÖRNEK 3: "Hesabımdan yetkisiz para çekilmiş" → KATEGORİ: Güvenlik | ÖNCELİK: Kritik
ÖRNEK 4: "Temsilci kaba davrandı" → KATEGORİ: Hizmet Kalitesi | ÖNCELİK: Orta
ÖRNEK 5: "Transfer işlemim 3 gündür ulaşmadı" → KATEGORİ: Transfer Sorunu | ÖNCELİK: Yüksek
YENİ ŞİKAYET: "[MÜŞTERİ ŞİKAYET METNİ]"
Çıktı: KATEGORİ: ___ | ÖNCELİK: ___ | ATANACAK EKİP: ___ | TAHMINI ÇÖZÜM SÜRESİ: ___</t>
  </si>
  <si>
    <t>Few-Shot</t>
  </si>
  <si>
    <t>Kişiselleştirilmiş Ürün Teklifi</t>
  </si>
  <si>
    <t>Kıdemli müşteri ilişkileri yöneticisi olarak aşağıdaki müşteri profiline uygun ürün teklifi e-postası yaz.
Müşteri Profili:
- Segment: [SEGMENT]
- Yaş: [YAŞ] | Risk İştahı: [DÜŞÜK/ORTA/YÜKSEK]
- Mevcut Ürünler: [ÜRÜNLER]
- Son 6 ay ortalama bakiye: [BAKİYE] TL
- Öne çıkan ihtiyaç: [İHTİYAÇ]
Önerilecek ürün: [ÜRÜN ADI]
Kural: Ürünün faydalarını müşterinin profiline özgü yaz. Genel tanıtım metni kullanma. Sonunda net bir "aksiyon" öner.
Uzunluk: 150-180 kelime</t>
  </si>
  <si>
    <t>Çok Dilli Müşteri Yanıtı</t>
  </si>
  <si>
    <t>Uluslararası müşteri ilişkileri uzmanı olarak aşağıdaki mesajı [TÜRKÇE/İNGİLİZCE/ALMANCA] olarak yanıtla.
Müşteri mesajı: [MESAJ]
Konu: [KONU]
Müşterinin dili: [DİL]
Yanıt şartları:
- [DİL] dilinde, profesyonel bankacılık tonu
- Açık ve sade (teknik jargondan kaçın)
- Çözüm odaklı, sonunda bir sonraki adımı belirt
- Max 3 paragraf</t>
  </si>
  <si>
    <t>VIP Müşteri Ret Yazısı</t>
  </si>
  <si>
    <t>Müşteri ilişkileri direktörü olarak VIP müşteriyi ilişkiyi koruyarak reddeden resmi mektup yaz.
Ret konusu: [BAŞVURU TÜRÜ] (örn. özel faiz indirimi talebi)
Ret gerekçesi: [GEREKÇE]
Müşteri değeri: [X] yıllık müşteri, [TOPLAM BAKİYE] TL portföy
Mektup yapısı:
1. Uzun ilişkiyi takdirle başla
2. Talebi nazikçe reddet + gerekçe (1 cümle, savunmacı değil)
3. Alternatif bir çözüm öner
4. İlişkiyi güçlendirici kapanış
Ton: Sıcak, saygılı, ilişkiyi koruyucu</t>
  </si>
  <si>
    <t>Raporlama &amp; Analiz</t>
  </si>
  <si>
    <t>Yönetim Komitesi Brifing Özeti</t>
  </si>
  <si>
    <t>Kıdemli iş analisti olarak aşağıdaki ham verileri yönetim komitesi brifingine dönüştür.
VERİ:
[HAM VERİ / RAPOR METNİ / TABLO BURAYA]
Çıktı yapısı (kesinlikle bu formatı kullan):
━━ YÖNETİCİ ÖZETİ (2-3 cümle)
━━ ÖNE ÇIKAN BAŞARILAR (3 madde, rakamsal)
━━ DİKKAT GEREKTİREN KONULAR (3 madde, trafik ışığı: 🟢🟡🔴)
━━ ÖNERİLEN EYLEMLER (3 madde, sorumlular ve tarih)
Ton: Özlü, sayısal, üst yönetim diline uygun. Gereksiz detaydan kaçın.</t>
  </si>
  <si>
    <t>Trend Analizi ve Yorum</t>
  </si>
  <si>
    <t>Veri analisti olarak aşağıdaki [X] aylık zaman serisi verisini analiz et.
Veri: [VERİYİ BURAYA YAPIŞTIRIN – tablo veya liste formatında]
Metrik: [METRİK ADI]
Adım adım analiz et:
1. Genel trend yönü nedir? (Yükselen/Düşen/Yatay)
2. En yüksek ve en düşük nokta nerede, neden olabilir?
3. Mevsimsel veya dönemsel örüntü var mı?
4. Son dönem trendi genel trenden sapıyor mu?
5. Analist yorumu: Bu trende göre ne yapılmalı?
Çıktı: Her madde için 2-3 cümle. Yorum edelim.</t>
  </si>
  <si>
    <t>Anomali Tespiti</t>
  </si>
  <si>
    <t>Veri kalite analisti olarak aşağıdaki işlem verisinde anomali ve şüpheli kayıtları tespit et.
VERİ: [VERİYİ YAPISTIRIN]
Analiz kriterleri:
- Ortalamadan %50+ sapan tutarlar
- Alışılmadık saatlerdeki işlemler (gece 00:00-06:00)
- Kısa sürede ardışık yüksek tutarlı işlemler
- Yüksek riskli ülkelere transferler
- Normal işlem sıklığının 3 katı üzeri günler
Çıktı: Her anomali için →
Kayıt No | Anomali Türü | Risk Seviyesi (1-5) | Açıklama | Önerilen Eylem</t>
  </si>
  <si>
    <t>KPI Dashboard Yorumu</t>
  </si>
  <si>
    <t>Şube performans analisti olarak aşağıdaki KPI verilerini yorumla ve yönetim raporu yaz.
Şube: [ŞUBE ADI] | Dönem: [AY/ÇEYREK]
Yeni Müşteri: [SAYI] (Hedef: [HEDEF])
Kredi Hacmi: [TUTAR] TL (Hedef: [HEDEF])
Memnuniyet Skoru: [PUAN]/100 (Sektör ort: [ORT])
Şikayet Sayısı: [SAYI] (Geçen dönem: [ESKİ])
Dijital İşlem Oranı: %[ORAN]
Çıktı:
• Başarı alanları (neden başarılı, ne yapılmalı devam için)
• Gelişim alanları (neden zayıf, kısa vadeli düzeltme önerisi)
• Önümüzdeki dönem öncelik listesi (3 madde)</t>
  </si>
  <si>
    <t>Döküman Karşılaştırma</t>
  </si>
  <si>
    <t>Kıdemli analist olarak iki döküman versiyonunu karşılaştır ve kritik farkları raporla.
DÖKÜMAN A (Eski Versiyon):
[METİN A BURAYA]
DÖKÜMAN B (Yeni Versiyon):
[METİN B BURAYA]
Analiz:
1. Eklenen maddeler (var mıydı, şimdi ne diyor)
2. Çıkarılan maddeler (önemli mi?)
3. Değiştirilen ifadeler (ne fark yaratıyor?)
4. Risk değerlendirmesi: Bu değişiklikler banka açısından faydalı mı riskli mi?
Çıktı: Tablo formatı tercih edilir (Madde | Eski | Yeni | Risk Notu)</t>
  </si>
  <si>
    <t>Regülasyon &amp; Uyum</t>
  </si>
  <si>
    <t>BDDK Uyum Kontrol Listesi</t>
  </si>
  <si>
    <t>Bankacılık uyum uzmanı olarak aşağıdaki dökümanı BDDK mevzuatı açısından kontrol et.
DÖKÜMAN: [DÖKÜMAN METNİ / ÖZET]
Kontrol kapsamı: [BDDK YÖNETMELİK ADI veya GENEL]
Her madde için trafik ışığı değerlendirmesi:
🟢 UYUMLU: Mevzuata tam uygun
🟡 RİSK: Kısmen uyumlu, dikkat gerektirir
🔴 UYUMSUZ: Mevzuata aykırı, acil düzeltme
Her tespit için: Madde No | Durum | Gerekçe | Önerilen Düzeltme
ÖNEMLİ: Yalnızca döküman içeriğine dayan. Emin olmadığın noktalarda 'uzman görüşü alın' de.</t>
  </si>
  <si>
    <t>AML Şüpheli İşlem Ön Analizi</t>
  </si>
  <si>
    <t>AML uyum analisti olarak aşağıdaki işlem grubunu MASAK kriterleri açısından değerlendir.
İşlem Detayları:
[İŞLEM VERİLERİ]
Analiz kriterleri:
- İşlem sıklığı ve tutarlar normal mi?
- Karşı taraflar yüksek riskli ülke/kişi mi?
- İşlem amacı beyan edilen faaliyetle uyumlu mu?
- Layering (katmanlama) belirtisi var mı?
- Threshold altı bölme (structuring) var mı?
Çıktı: Şüphe Skoru (1-10) + Tetikleyen Faktörler + Öneri (STR dosyala / İzlemeye al / Normal)
UYARI: Bu bir ön analiz aracıdır; nihai karar yetkili uyum yöneticisine aittir.</t>
  </si>
  <si>
    <t>KYC Döküman Özeti</t>
  </si>
  <si>
    <t>Müşteri tanıma (KYC) uzmanı olarak aşağıdaki müşteri bilgilerini değerlendir.
Müşteri Türü: [BİREYSEL / KURUMSAL / YABANCI UYRUKLU]
Sunulan Belgeler: [BELGELER]
Faaliyet Alanı: [SEKTÖR]
Tahmini İşlem Hacmi: [TUTAR/DÖNEMLİK]
PEP Durumu: [EVET/HAYIR]
Riskli Ülke Bağlantısı: [EVET/HAYIR]
Değerlendirme:
• Müşteri Risk Derecesi: Düşük / Orta / Yüksek
• Eksik Belge/Bilgi: (varsa listele)
• Ek Onay Gereksinimi: (varsa belirt)
• KYC Kabul Önerisi: Kabul / Dikkatli Takip / Red</t>
  </si>
  <si>
    <t>Regülasyon Değişikliği Etki Analizi</t>
  </si>
  <si>
    <t>Kıdemli uyum danışmanı olarak aşağıdaki regülasyon değişikliğinin bankaya etkisini analiz et.
Değişiklik: [YÖNETMELİK ADI ve ÖZET DEĞİŞİKLİK]
Yürürlük Tarihi: [TARİH]
Etki analizi:
1. Hangi iş birimlerini etkiliyor? (Öncelik sırasıyla)
2. Uyum için gerekli değişiklikler neler?
3. Tahmini uyum maliyeti ve süresi
4. Uyumsuzluk riski (yaptırım, ceza, itibar)
5. Eylem planı: Kim, ne yapacak, ne zaman?
Çıktı: Yönetim özeti + detaylı eylem tablosu</t>
  </si>
  <si>
    <t>Sözleşme Madde İnceleme</t>
  </si>
  <si>
    <t>Bankacılık hukuku uzmanı perspektifinden aşağıdaki sözleşme maddesini incele.
Madde: [SÖZLEŞME MADDESİ]
Sözleşme Türü: [KREDİ / HİZMET / ORTAKLIK / DİĞER]
Değerlendirme:
• Bu madde banka lehine mi, müşteri lehine mi, dengeli mi?
• Belirsiz veya yoruma açık ifadeler var mı?
• Potansiyel hukuki risk taşıyor mu?
• Önerilen düzeltme (varsa)
NOT: Bu bir hukuki görüş değildir; ön inceleme aracıdır. Nihai karar hukuk biriminden alınmalıdır.</t>
  </si>
  <si>
    <t>Operasyon &amp; Süreç</t>
  </si>
  <si>
    <t>SOP Yazımı</t>
  </si>
  <si>
    <t>Süreç iyileştirme uzmanı olarak aşağıdaki iş süreci için standart operasyon prosedürü (SOP) yaz.
Süreç Adı: [SÜREÇ ADI]
Kapsam: [HANGİ BİRİMLER ETKİLENİYOR]
Tetikleyici: [NE ZAMAN BAŞLAR]
Yasal Gereksinimler: [VARSA MEVZUAT]
SOP Yapısı:
1. Amaç ve Kapsam (2-3 cümle)
2. Sorumlular ve Roller (tablo)
3. Adım Adım Süreç Akışı (numaralı)
4. Kontrol Noktaları / Onay Mekanizmaları
5. İstisnalar ve Eskalasyon Kuralları
6. Gerekli Belgeler ve Formlar
Format: Açık, kısa cümleler, aksiyon odaklı dil</t>
  </si>
  <si>
    <t>Toplantı Özeti ve Eylem Maddeleri</t>
  </si>
  <si>
    <t>Proje koordinatörü olarak aşağıdaki toplantı notlarını yapılandırılmış özete dönüştür.
TOPLANTI NOTLARI:
[NOTLARI BURAYA YAPISTIRIN]
Çıktı:
━━ TOPLANTI BİLGİSİ: Tarih | Katılımcılar | Konu
━━ ALINAN KARARLAR (madde madde)
━━ EYLEM MADDELERİ (tablo: Eylem | Sorumlu | Teslim Tarihi)
━━ AÇIK KONULAR / SONRAKI TOPLANTI GÜNDEMİ
━━ ÖNEMLİ NOTLAR (varsa)
Ton: Resmi, özlü. Gereksiz diyalog kaldır.</t>
  </si>
  <si>
    <t>Proje Durum Raporu</t>
  </si>
  <si>
    <t>Proje yöneticisi olarak aşağıdaki bilgileri proje durum raporuna dönüştür.
Proje: [PROJE ADI]
Dönem: [HAFTA/AY]
Tamamlanan Görevler: [LİSTE]
Devam Eden Görevler: [LİSTE]
Riskler/Engeller: [LİSTE]
Bütçe Durumu: [HARCAMA] / [BÜTÇE] TL
Rapor:
🟢 TAMAMLANANLAR (ne bitti, ne anlama geliyor)
🟡 DEVAM EDENLER (durum, beklenen tamamlanma)
🔴 RİSKLER (etki seviyesi, alınan/alınacak önlem)
📊 BÜTÇE &amp; ZAMAN DURUMU
➡ ÖNÜMÜZDEKI HAFTA ÖNCELİKLER</t>
  </si>
  <si>
    <t>İş Gereksinim Belgesi (BRD) Özeti</t>
  </si>
  <si>
    <t>Kıdemli iş analisti olarak aşağıdaki iş gereksinimini yapılandırılmış BRD formatına çevir.
İş İhtiyacı: [AÇIKLAMA]
Etkilenen Birimler: [BİRİMLER]
Kullanıcı Hikayeleri: [KULLANICI HİKAYELERİ]
BRD Yapısı:
1. Yönetici Özeti (3 cümle)
2. İş Problemi / Fırsat
3. Kapsam (içinde ne var, dışında ne var)
4. Fonksiyonel Gereksinimler (numaralı)
5. Fonksiyonel Olmayan Gereksinimler
6. Başarı Kriterleri ve KPI'lar
7. Varsayımlar ve Kısıtlar</t>
  </si>
  <si>
    <t>E-posta Taslağı (Resmi)</t>
  </si>
  <si>
    <t>Bankacılık yazışma uzmanı olarak aşağıdaki bilgilere göre resmi e-posta yaz.
Gönderen: [AD SOYAD], [UNVAN]
Alıcı: [ALICI ADI], [UNVAN/KURUM]
Konu: [KONU]
Ana Mesaj: [SÖYLENMEK İSTENEN]
Ton: [RESMİ / YARI-RESMİ / ACİL / TEŞEKKÜR]
E-posta yapısı: Konu satırı + Sayın... + Giriş + Ana içerik + Aksiyon + Saygılar
Türkçe, net, max 150 kelime, banka yazışma standartlarına uygun</t>
  </si>
  <si>
    <t>Veri &amp; Excel</t>
  </si>
  <si>
    <t>Excel Formül Üretimi</t>
  </si>
  <si>
    <t>Excel uzmanı olarak aşağıdaki hesaplama ihtiyacı için Excel formülü yaz.
Çalışma sayfası yapısı:
- A sütunu: [AÇIKLAMA]
- B sütunu: [AÇIKLAMA]
- C sütunu: [AÇIKLAMA]
Veri aralığı: Satır 2'den başlıyor, [X] satır
İstenen hesaplama: [HESAPLAMAYI AÇIKLA]
Koşul varsa: [KOŞUL]
Çıktı:
• Formül (kopyalanabilir)
• Formülün açıklaması (ne yapıyor)
• Uyarı (varsa BÖLME HATASI (#DIV0) gibi hatalar için önlem)</t>
  </si>
  <si>
    <t>VBA Makro Yazımı</t>
  </si>
  <si>
    <t>Excel VBA geliştirici olarak aşağıdaki otomasyon ihtiyacı için makro yaz.
Görev: [OTOMASYON GÖREVİ]
Girdi: [KAYNAK SAYFA/DOSYA]
Çıktı: [HEDEF SAYFA/DOSYA]
Koşullar: [VARSA FİLTRE/KURAL]
Hata Yönetimi: Hata durumunda mesaj ver ve duraksın
Çıktı:
• Tam VBA kodu (çalışır durumda)
• Nasıl çalıştırılır (3 adım)
• Özelleştirme notları
DİKKAT: Üretim ortamında çalıştırmadan önce test ortamında deneyin.</t>
  </si>
  <si>
    <t>Veri Temizleme Planı</t>
  </si>
  <si>
    <t>Veri kalite uzmanı olarak aşağıdaki ham verinin kalite sorunlarını tespit et ve temizleme planı oluştur.
VERİ ÖRNEĞİ (ilk 10 satır):
[VERİYİ BURAYA YAPISTIRIN]
Analiz et:
1. Eksik değerler: Hangi sütunlarda, kaç adet, ne yapılmalı?
2. Format hataları: Tutarsız tarih, sayı, metin formatları
3. Aykırı değerler: Beklenmeyen min/max, mantıksız değerler
4. Mükerrer kayıtlar: Hangi kriterlere göre tespit edilmeli?
5. Referans bütünlüğü: Yabancı anahtar uyumsuzlukları
Çıktı: Sorun listesi + Excel/SQL temizleme adımları</t>
  </si>
  <si>
    <t>Python/SQL Kod Üretimi</t>
  </si>
  <si>
    <t>Veri mühendisi olarak aşağıdaki veri analizi ihtiyacı için [Python/SQL] kodu yaz.
Görev: [GÖREV AÇIKLAMASI]
Veri kaynağı: [TABLO/DOSYA ADI]
Sütunlar: [İLGİLİ SÜTUNLAR]
İstenen çıktı: [BEKLENEN SONUÇ]
Performans notu: [Büyük veri / Küçük veri]
Çıktı:
• Tam kod (yorumlu, temiz)
• Nasıl çalıştırılır
• Test senaryosu (2 örnek)
UYARI: Üretim sistemine doğrudan uygulamadan önce BT biriminin code review yapması zorunludur.</t>
  </si>
  <si>
    <t>Otomatik Rapor Şablonu</t>
  </si>
  <si>
    <t>Raporlama uzmanı olarak aşağıdaki tekrarlayan raporu otomatize edecek şablon ve prompt yaz.
Rapor Adı: [RAPOR ADI]
Frekans: [GÜNLÜK / HAFTALIK / AYLIK]
Kaynak Veri: [VERİ KAYNAKLARI]
Hedef Kitle: [ALICILAR]
Mevcut Hazırlama Süresi: [X] saat
Oluştur:
1. Veri toplama kontrol listesi (checklist)
2. Analiz prompt şablonu (her dönem kullanılabilir)
3. Çıktı format şablonu (başlıklar, tablolar)
4. Kalite kontrol prompt'u (son kontrol için)</t>
  </si>
  <si>
    <t>Prompt Zinciri</t>
  </si>
  <si>
    <t>🎯 EGZERSİZ SENARYOLARI — 10 Gerçekçi Atölye Vakası</t>
  </si>
  <si>
    <t>Senaryo Adı</t>
  </si>
  <si>
    <t>Senaryo Açıklaması ve Ham Veri</t>
  </si>
  <si>
    <t>Göreviniz (Prompt Yazın)</t>
  </si>
  <si>
    <t>İpuçları</t>
  </si>
  <si>
    <t>Başarı Kriteri</t>
  </si>
  <si>
    <t>Kredi Ret Kararı Açıklaması</t>
  </si>
  <si>
    <t>Müşteri Ahmet Yılmaz (48 yaş, emekli öğretmen) 600.000 TL konut kredisi başvurusu yaptı.
Aylık emekli maaşı: 28.000 TL
Kredi notu: 1.050
Mevcut banka borcu: 180.000 TL
DTI hesabı: %82 → RED kararı verildi.</t>
  </si>
  <si>
    <t>Bu müşteriye ret kararını açıklayan, empati içeren ve alternatif sunan resmi e-posta yazın.</t>
  </si>
  <si>
    <t>Rol: Müşteri İlişkileri | Ton: Empati + Profesyonel | Alternatif: Daha düşük tutar öner | Max 180 kelime</t>
  </si>
  <si>
    <t>Empati (gerçek, kalıp cümle değil), ret gerekçesi (jargonsuz), en az 1 somut alternatif, net kapanış</t>
  </si>
  <si>
    <t>Şube Performans Raporu</t>
  </si>
  <si>
    <t>Kadıköy Şubesi – Mart 2025 KPI Özeti:
Yeni Müşteri: 87 (Hedef: 100) → %87
Kredi Hacmi: 42.3 M TL (Hedef: 38 M TL) → %111
Memnuniyet: 88.4/100 (Sektör ort: 82.1)
Şikayet: 18 (Şubat: 11) → %64 artış
Dijital İşlem: %62
Personel Sayısı: 14</t>
  </si>
  <si>
    <t>Bu verileri yönetim komitesine sunmak üzere yapılandırılmış bir brifing özeti hazırlayın.</t>
  </si>
  <si>
    <t>Format: Başarılar + Riskler + Eylem Önerileri | Trafik ışığı kullan | Max 250 kelime</t>
  </si>
  <si>
    <t>Tüm KPI'lar ele alınmış, trafik ışığı doğru kullanılmış, 3 somut eylem önerisi</t>
  </si>
  <si>
    <t>Çok Kanallı Şikayet Analizi</t>
  </si>
  <si>
    <t>Son 30 günde aynı konuda 5 farklı kanaldan gelen şikayetler:
- Mobil (3x): 'Para transferi gönderildi ama ulaşmıyor'
- Telefon (2x): 'EFT işlemim 4 gündür bekliyor'
- Şube (1x): 'Transfer ücretini aldınız ama para yok'
- Sosyal medya (1x): 'Bankanız dolandırıcılık yapıyor'
- E-posta (1x): 'Şikayetim dikkate alınmıyor'</t>
  </si>
  <si>
    <t>Bu şikayetleri tek bir yapılandırılmış vaka özeti + çözüm planı formatına dönüştüren prompt yazın.</t>
  </si>
  <si>
    <t>CoT tekniği: Önce analiz et, sonra kökenini bul, sonra acil/uzun vadeli çözüm öner</t>
  </si>
  <si>
    <t>Kök neden tespit edilmiş, çözüm süresi belirtilmiş, sosyal medya yanıtı ayrı ele alınmış</t>
  </si>
  <si>
    <t>Kurumsal Müşteri Risk Güncellemesi</t>
  </si>
  <si>
    <t>Uzun süreli kurumsal müşteri – Güneş Tekstil A.Ş.:
- 12 yıllık müşteri, mevcut kredi limiti: 8 M TL
- Sektör: Tekstil (döviz riskli)
- Son 6 ay cirosunda %22 düşüş
- Döviz pozisyonu açık (200K USD short)
- Yeni ihracat sözleşmesi: 1.2 M EUR (6 ay vadeli)
- Kredi notu: BB → B+'a düştü</t>
  </si>
  <si>
    <t>Bu müşteri için kredi komitesine sunum hazırlayan bir risk değerlendirme notu promptu yazın.</t>
  </si>
  <si>
    <t>Tree-of-Thought: 3 senaryo (limit koru / limit düşür / erken kapatma talep et)</t>
  </si>
  <si>
    <t>3 senaryo açık, her birinde risk/fayda dengesi, komite için net öneri</t>
  </si>
  <si>
    <t>Regülasyon Değişikliği Duyurusu</t>
  </si>
  <si>
    <t>BDDK'nın yeni düzenlemesi (varsayımsal örnek):
- Konut kredilerinde LTV oranı %80'den %70'e düşürüldü
- Tüketici kredilerinde maksimum vade 60 aydan 48 aya indi
- Yürürlük tarihi: 01 Nisan 2025
- Etkilenen ürünler: Tüm bireysel kredi ürünleri</t>
  </si>
  <si>
    <t>Bu değişikliği müşterilere açıklayan, banka web sitesi için FAQ metni yazın (6-8 soru).</t>
  </si>
  <si>
    <t>Müşteri dili (teknik değil), her soru ayrı ele alınsın, eylem gerektiren durum belirtilsin</t>
  </si>
  <si>
    <t>6-8 soru-cevap, hukuki/teknik jargon yok, hangi başvurular etkileniyor açık</t>
  </si>
  <si>
    <t>Veri Anomalisi Tespiti</t>
  </si>
  <si>
    <t>Müşteri M-45821 – Son 7 günlük işlem özeti:
Pzt: 2 işlem, toplam 3.200 TL (normal)
Sal: 1 işlem, 1.500 TL (normal)
Çar: 8 işlem, 03:15-04:40 arasında, toplam 47.500 TL – 5 farklı alıcı
Per: 0 işlem
Cum: 3 işlem, 85.000 TL tek seferde yurt dışı transfer
Cmt: 2 işlem, 2.800 TL (normal)
Paz: 15 işlem, 09:00-09:45 arasında, her biri 4.999 TL – aynı alıcı</t>
  </si>
  <si>
    <t>Bu işlem geçmişini AML analisti gözüyle değerlendiren bir şüpheli işlem ön analizi promptu yazın.</t>
  </si>
  <si>
    <t>Anomalileri önce tespit et, sonra şüphe gerekçelerini açıkla, STR öner/önerme gerekçelendir</t>
  </si>
  <si>
    <t>Tüm anomaliler tespit edilmiş (gece işlemleri, structuring, yurt dışı), öneri gerekçeli</t>
  </si>
  <si>
    <t>Müşteri Segmentasyon Özeti</t>
  </si>
  <si>
    <t>Portföy verisi (anonim):
Premium segment (AUM &gt;500K): 342 müşteri, ort. bakiye 1.2M TL, dijital kullanım %45
Kitlesel segment (AUM 50-500K): 12.847 müşteri, ort. bakiye 180K TL, dijital %68
Yeni müşteri (&lt;1 yıl): 2.341 müşteri, ort. bakiye 28K TL, dijital %87
Emekli segment: 4.122 müşteri, ort. bakiye 95K TL, dijital %31</t>
  </si>
  <si>
    <t>Bu segmentasyon verisinden satış stratejisi önerileri çıkaran yönetim özeti promptu yazın.</t>
  </si>
  <si>
    <t>Her segment için ayrı strateji, dijital adoption fırsatı vurgula, cross-sell/upsell öner</t>
  </si>
  <si>
    <t>4 segmentin tamamı ele alınmış, her biri için somut ürün/kanal önerisi</t>
  </si>
  <si>
    <t>Süreç Optimizasyonu</t>
  </si>
  <si>
    <t>Mevcut kredi başvuru süreci:
Adım 1: Müşteri şubeye gelir, form doldurur (45 dk)
Adım 2: Evraklar fiziksel taranır (1 gün)
Adım 3: Kredi birime gönderilir (2-3 gün posta)
Adım 4: Değerlendirme (3-5 iş günü)
Adım 5: Onay/red müşteriye mektupla bildirilir (3-5 gün)
Toplam: 10-15 iş günü | Müşteri memnuniyeti: 58/100</t>
  </si>
  <si>
    <t>Bu süreci dijital dönüşüm odaklı yeniden tasarlayan süreç haritası ve BRD özeti promptu yazın.</t>
  </si>
  <si>
    <t>Mevcut sorunları listele, dijital alternatifleri öner, hedef süreyi belirle, KPI tanımla</t>
  </si>
  <si>
    <t>Tüm adımlar ele alınmış, hedef süre &lt;3 iş günü, net KPI'lar, teknoloji önerileri somut</t>
  </si>
  <si>
    <t>Yönetici Sunumu Hazırlığı</t>
  </si>
  <si>
    <t>Yarın sabah yönetim kuruluna 15 dakika sunum yapacaksınız. Konu:
'2025 Q1 Dijital Bankacılık Performansı ve Rakip Analizi'
Elinizde: Mobil kullanıcı sayısı, dijital işlem oranı, rakip benchmark verileri var
Süre: 15 dakika → ~12 slayt
Hedef: Bütçe onayı + dijital yatırım kararı</t>
  </si>
  <si>
    <t>Bu sunum için yapay zeka destekli içerik geliştirme süreci tasarlayan prompt zinciri yazın.</t>
  </si>
  <si>
    <t>Prompt zinciri: 1-Slayt yapısı, 2-Her slayt içeriği, 3-Yönetici dili revizyonu, 4-Q&amp;A hazırlığı</t>
  </si>
  <si>
    <t>4 aşamalı prompt zinciri, her çıktı bir sonraki adımın girdisi, yönetim diline uygun</t>
  </si>
  <si>
    <t>Hallucination Önleme</t>
  </si>
  <si>
    <t>Bir analist ChatGPT'ye şu soruyu sordu:
'Türkiye'deki konut kredisi faiz oranları şu anda kaç?'
ChatGPT: 'Türkiye'de konut kredisi faiz oranları %1.89 ile %2.15 arasında değişmektedir.'
(NOT: Bu tamamen uydurulmuş olabilir!)</t>
  </si>
  <si>
    <t>Bu hallucination riskini önlemek için hem doğru soruyu hem de doğrulama protokolünü içeren prompt yazın.</t>
  </si>
  <si>
    <t>Veri kaynağı kısıtlaması, bilinmiyorsa söyle talimatı, çift kaynak doğrulaması</t>
  </si>
  <si>
    <t>Hallucination riski azaltılmış, kaynak referansı zorunlu kılınmış, belirsizlik açıkça belirtilmiş</t>
  </si>
  <si>
    <t>🔄 İYİ vs KÖTÜ PROMPT — 30 Karşılaştırmalı Örnek | Prompt İyileştirme Egzersizi</t>
  </si>
  <si>
    <t>❌ ZAYIF PROMPT</t>
  </si>
  <si>
    <t>✅ GÜÇLENDİRİLMİŞ PROMPT</t>
  </si>
  <si>
    <t>Temel Fark</t>
  </si>
  <si>
    <t>Kullanılan Teknik</t>
  </si>
  <si>
    <t>Kredi</t>
  </si>
  <si>
    <t>Raporu yaz.</t>
  </si>
  <si>
    <t>Kredi değerlendirme uzmanı olarak bu bireysel kredi başvurusunu analiz et: [VERİ]. Çıktı: Karar (Onayla/Reddet), Risk Skoru 1-10, 3 madde sayısal gerekçe. Max 150 kelime.</t>
  </si>
  <si>
    <t>Görev belirsiz, format yok, rol yok</t>
  </si>
  <si>
    <t>Rol + Görev + Format + Kısıtlama</t>
  </si>
  <si>
    <t>Bu müşteri iyi mi?</t>
  </si>
  <si>
    <t>Kıdemli bankacı olarak şu finansal profili değerlendir: [VERİ]. İyi/kötü yerine Risk Skoru 1-10 ver ve gerekçeni 3 maddede belirt.</t>
  </si>
  <si>
    <t>Öznel soru, standart dışı çıktı</t>
  </si>
  <si>
    <t>Somut metrik + Nesnel format</t>
  </si>
  <si>
    <t>Müşteri</t>
  </si>
  <si>
    <t>E-posta yaz.</t>
  </si>
  <si>
    <t>Müşteri ilişkileri uzmanı olarak ATM arızası şikayetine empati içeren yanıt e-postası yaz. Yapı: Özür + Açıklama + Eylem + Süre. Max 150 kelime, resmi Türkçe.</t>
  </si>
  <si>
    <t>Ne hakkında? Kime? Nasıl?</t>
  </si>
  <si>
    <t>Bağlam + Yapı + Format</t>
  </si>
  <si>
    <t>Şikayete cevap ver: [METİN]</t>
  </si>
  <si>
    <t>Banka müşteri hizmetleri uzmanı olarak bu şikayete yanıt ver: [METİN]. Ton: Empati + Profesyonel. Önce özür dile, sonra durumu açıkla, ardından çözüm süresi ve iletişim bilgisi ver.</t>
  </si>
  <si>
    <t>Format belirsiz, ton tanımsız</t>
  </si>
  <si>
    <t>Ton + Yapı belirtilmiş</t>
  </si>
  <si>
    <t>Bu şikayeti sınıflandır.</t>
  </si>
  <si>
    <t>Şu şikayeti sınıflandır: [METİN]. Çıktı tam olarak şu formatta ver: KATEGORİ: [Teknik Arıza/Transfer Sorunu/Güvenlik/Bilgi Talebi/Hizmet Kalitesi] | ÖNCELİK: [Kritik/Yüksek/Orta/Düşük]</t>
  </si>
  <si>
    <t>Hangi kategoriler? Hangi format?</t>
  </si>
  <si>
    <t>Sabit seçenekler + Kesin format</t>
  </si>
  <si>
    <t>Analiz</t>
  </si>
  <si>
    <t>Analiz et.</t>
  </si>
  <si>
    <t>Veri analisti olarak aşağıdaki 12 aylık kredi portföyü verisini analiz et: [VERİ]. Adım adım: 1) Genel trend 2) En iyi/kötü ay ve nedeni 3) Mevsimsellik 4) Önümüzdeki çeyrek tahmini. Her adım 2 cümle.</t>
  </si>
  <si>
    <t>Ne analiz edilecek? Nasıl sunulacak?</t>
  </si>
  <si>
    <t>CoT + Kısıtlama</t>
  </si>
  <si>
    <t>Özet yaz.</t>
  </si>
  <si>
    <t>İş analisti olarak aşağıdaki 8 sayfalık raporu yöneticiye özetle: [METİN]. Yapı: Yönetici Özeti (2 cümle) + 3 kritik bulgu (madde) + 2 eylem önerisi. Teknik jargon kullanma.</t>
  </si>
  <si>
    <t>Nasıl özetlenecek? Hangi format?</t>
  </si>
  <si>
    <t>Hedef kitle + Format + Kısıtlama</t>
  </si>
  <si>
    <t>Trendi bul.</t>
  </si>
  <si>
    <t>Aşağıdaki aylık şikayet verisinde trendi tespit et: [VERİ]. Çıktı: 1) Trend yönü (artış/düşüş/yatay) 2) En yüksek 3 ay ve olası nedenleri 3) Bu trende göre önerilen eylem.</t>
  </si>
  <si>
    <t>Ne bulunacak? Nasıl raporlanacak?</t>
  </si>
  <si>
    <t>Yapılandırılmış çıktı</t>
  </si>
  <si>
    <t>Karşılaştır.</t>
  </si>
  <si>
    <t>Strateji analisti olarak iki ürün dönemini karşılaştır. Tablo formatı: Kriter | Q1-2024 | Q1-2025 | Değişim% | Yorum. Kriterler: Ciro, Müşteri Sayısı, Memnuniyet, Şikayet Oranı.</t>
  </si>
  <si>
    <t>Neyi karşılaştır? Nasıl göster?</t>
  </si>
  <si>
    <t>Tablo formatı + Kriterler belirtilmiş</t>
  </si>
  <si>
    <t>Regülasyon</t>
  </si>
  <si>
    <t>Mevzuata uygun mu?</t>
  </si>
  <si>
    <t>Bankacılık uyum uzmanı olarak bu dökümanı BDDK kredi yönetmeliği açısından incele: [DÖKÜMAN]. Her madde için: 🟢 Uyumlu / 🟡 Risk / 🔴 Uyumsuz + tek cümle gerekçe. Emin olmadığında "uzman görüşü alın" de.</t>
  </si>
  <si>
    <t>Hangi mevzuat? Nasıl raporlanacak? Belirsizlik?</t>
  </si>
  <si>
    <t>Kapsam + Trafik ışığı + Belirsizlik kuralı</t>
  </si>
  <si>
    <t>AML analizi yap.</t>
  </si>
  <si>
    <t>AML uyum analisti olarak bu işlem grubunu değerlendir: [VERİ]. Şüpheli işaret: Gece işlemleri, structuring, yabancı ülke. Çıktı: Şüphe Skoru 1-10 + tetikleyen faktörler + STR öner/önerme (gerekçesiyle). Bu bir ön analizdir.</t>
  </si>
  <si>
    <t>Neye bakılacak? Nasıl puanlanacak?</t>
  </si>
  <si>
    <t>Kriterler + Yapılandırılmış çıktı + Sorumluluk notu</t>
  </si>
  <si>
    <t>Sözleşmeyi incele.</t>
  </si>
  <si>
    <t>Hukuki danışman gözüyle bu maddeyi incele: [MADDE]. Analiz: 1) Hangi taraf lehine? 2) Belirsiz ifade var mı? 3) Potansiyel risk? 4) Önerilen düzeltme. NOT: Bu ön inceleme aracıdır, nihai karar hukuk birimine aittir.</t>
  </si>
  <si>
    <t>Nasıl incelenecek? Nihai yetki?</t>
  </si>
  <si>
    <t>Yapılandırılmış analiz + Sorumluluk sınırı</t>
  </si>
  <si>
    <t>Toplantı notu yaz.</t>
  </si>
  <si>
    <t>Proje koordinatörü olarak bu toplantı notlarını yapılandır: [NOTLAR]. Format: 1) Alınan Kararlar (madde) 2) Eylem Maddeleri (tablo: Eylem|Sorumlu|Tarih) 3) Açık Konular 4) Sonraki gündem. Gereksiz diyalogu çıkar.</t>
  </si>
  <si>
    <t>Nasıl yapılandırılacak? Ne dahil, ne hariç?</t>
  </si>
  <si>
    <t>Format + Filtreleme talimatı</t>
  </si>
  <si>
    <t>SOP yaz.</t>
  </si>
  <si>
    <t>Süreç uzmanı olarak [SÜREÇ ADI] için standart prosedür yaz. Bölümler: 1) Amaç 2) Kapsam 3) Sorumlular (tablo) 4) Adımlar (numaralı, aksiyon fiili ile başlayan) 5) İstisnalar 6) Kontrol noktaları.</t>
  </si>
  <si>
    <t>Hangi bölümler? Nasıl yazılacak?</t>
  </si>
  <si>
    <t>Yapı + Dil kuralı</t>
  </si>
  <si>
    <t>E-posta taslağı.</t>
  </si>
  <si>
    <t>Bankacılık yazışma standartlarına göre resmi Türkçe e-posta yaz. Gönderen: [İSİM/UNVAN] | Alıcı: [İSİM/KURUM] | Konu: [KONU] | Ana mesaj: [MESAJ]. Format: Konu satırı + Sayın... + içerik + kapanış. Max 120 kelime.</t>
  </si>
  <si>
    <t>Kime? Ne hakkında? Nasıl?</t>
  </si>
  <si>
    <t>Bağlam + Yapı + Uzunluk</t>
  </si>
  <si>
    <t>Veri</t>
  </si>
  <si>
    <t>Excel formülü.</t>
  </si>
  <si>
    <t>A sütunu: Aylık gelir (TL), B sütunu: Aylık gider (TL). C1'e DTI oranı formülü yaz (gider/gelir). Eğer &gt;%43 ise kırmızı, &lt;=43% ise yeşil koşullu biçimlendirme için de VBA kodu ver.</t>
  </si>
  <si>
    <t>Hangi sütunlar? Ne formülü? Görsel?</t>
  </si>
  <si>
    <t>Bağlam + Formül + Görsel kural</t>
  </si>
  <si>
    <t>Bu veriyi analiz et.</t>
  </si>
  <si>
    <t>Veri analisti olarak bu CSV verisini analiz et: [VERİ]. Sırasıyla: 1) Temel istatistikler (min/max/ort/std) 2) Eksik ve aykırı değerler 3) En anlamlı 3 içgörü 4) Önerilen görselleştirme türü.</t>
  </si>
  <si>
    <t>Nasıl analiz? Ne çıktı?</t>
  </si>
  <si>
    <t>Sıralı adımlar + Çıktı türleri</t>
  </si>
  <si>
    <t>Raporu özetle.</t>
  </si>
  <si>
    <t>Bu veriyi yönetim için özetle: [VERİ]. Teknik ayrıntıları kaldır. Çıktı: 1) Tek cümle sonuç 2) 3 kritik sayı (context ile birlikte) 3) 1 eylem önerisi. Üst yönetim dili kullan.</t>
  </si>
  <si>
    <t>Hangi detaylar? Hangi format?</t>
  </si>
  <si>
    <t>Hedef kitle + Sayısal odak</t>
  </si>
  <si>
    <t>Bu adamı değerlendir.</t>
  </si>
  <si>
    <t>Bireysel kredi uzmanı olarak bu başvuruyu değerlendir: [VERİ]. Yalnızca finansal kriterleri dikkate al. Çıktı: Risk Skoru (1-10) + Karar + 3 sayısal gerekçe. Cinsiyet/yaş/isim kararı etkilemesin.</t>
  </si>
  <si>
    <t>Öznel ifade, potansiyel önyargı</t>
  </si>
  <si>
    <t>Nesnel kriterler + Önyargı önleme</t>
  </si>
  <si>
    <t>Her şeyi analiz et.</t>
  </si>
  <si>
    <t>Bu müşteri portföy verisini analiz et: [VERİ]. Odak: 1) Churn riski yüksek müşteriler (kriterleri belirt) 2) Cross-sell fırsatları 3) Segment bazlı öncelik listesi. Her bölüm max 3 madde.</t>
  </si>
  <si>
    <t>Çok geniş kapsam, ne çıktı?</t>
  </si>
  <si>
    <t>Odaklı görev + Kısıtlama</t>
  </si>
  <si>
    <t>Müşteri mutlu mu?</t>
  </si>
  <si>
    <t>Bu 12 aylık müşteri geri bildirim verisini analiz et: [VERİ]. Memnuniyet skoru yerine: 1) En sık şikayet konuları (top 3) 2) Memnuniyet düşüş dönemleri ve olası nedenleri 3) Hızlı kazanım önerileri (3 madde).</t>
  </si>
  <si>
    <t>Öznel soru, ölçülebilir değil</t>
  </si>
  <si>
    <t>Somut metrikler + Aksiyon odaklı</t>
  </si>
  <si>
    <t>Süreci iyileştir.</t>
  </si>
  <si>
    <t>Süreç iyileştirme uzmanı olarak bu mevcut süreci analiz et: [SÜREÇ]. Adım adım: 1) Darboğazları tespit et 2) Her darboğaz için kök neden 3) Hızlı çözümler (&lt;30 gün) 4) Stratejik iyileştirmeler. Hedef: Süreyi %30 kıs.</t>
  </si>
  <si>
    <t>Ne iyileştirilecek? Nasıl? Hedef?</t>
  </si>
  <si>
    <t>CoT + Somut hedef</t>
  </si>
  <si>
    <t>Faiz belirle.</t>
  </si>
  <si>
    <t>Risk fiyatlama uzmanı olarak bu müşteri profiline uygun faiz oranı aralığı öner: [VERİ]. Dikkate al: Kredi notu, DTI, teminat, vade. Çıktı: Önerilen aralık (%X-%Y) + Gerekçe (3 faktör) + Benchmark notu. NOT: Gerçek faiz kararı yetkiliye aittir.</t>
  </si>
  <si>
    <t>Hangi faktörler? Kesin oran mı?</t>
  </si>
  <si>
    <t>Çok faktörlü analiz + Sorumluluk sınırı</t>
  </si>
  <si>
    <t>MASAK'a uygun mu?</t>
  </si>
  <si>
    <t>AML uyum uzmanı olarak bu işlem profilini MASAK yükümlülükleri açısından değerlendir: [VERİ]. Kontrol: Eşik üzeri işlemler, yüksek riskli coğrafya, alışılmadık örüntü. Çıktı: Uyumlu/Risk/Uyumsuz + Gerekçe + Önerilen aksiyon. Kesin hukuki karar değil, ön analiz.</t>
  </si>
  <si>
    <t>Neye bakılacak? Nasıl raporlanacak?</t>
  </si>
  <si>
    <t>Kriterler + Ön analiz notu</t>
  </si>
  <si>
    <t>Bu tabloyu yorumla.</t>
  </si>
  <si>
    <t>Finansal analist olarak bu tabloyu yorumla: [TABLO]. Yorumlama sırası: 1) Genel eğilim (1 cümle) 2) En dikkat çekici 3 satır/sütun (neden dikkat çekici?) 3) Tablonun göstermediği ama sormamız gereken soru. Max 200 kelime.</t>
  </si>
  <si>
    <t>Nasıl yorumlanacak? Ne derinliğinde?</t>
  </si>
  <si>
    <t>Sıralı analiz + Eleştirel düşünce</t>
  </si>
  <si>
    <t>VIP müşteriye ulaş.</t>
  </si>
  <si>
    <t>Özel bankacılık danışmanı olarak bu VIP müşteriye portföy güncelleme e-postası yaz: [PROFİL]. Ton: Samimi ama profesyonel. İçerik: Son portföy performansı özeti + 1 kişiselleştirilmiş fırsat + Randevu daveti. Max 200 kelime, ismiyle hitap et.</t>
  </si>
  <si>
    <t>Kime? Ne içerik? Nasıl ton?</t>
  </si>
  <si>
    <t>Kişiselleştirme + Ton + Yapı</t>
  </si>
  <si>
    <t>Anomali var mı?</t>
  </si>
  <si>
    <t>Veri analisti olarak bu işlem listesinde anomali ara: [VERİ]. Anomali kriterleri: Ortalamadan &gt;2 standart sapma, gece 00-06 saati işlemler, 5 dk içinde 3+ işlem, tutarsız coğrafya. Çıktı: Her anomali için → Kayıt No | Tür | Risk (1-5) | Eylem önerisi.</t>
  </si>
  <si>
    <t>Neye anomali denir? Nasıl raporlanır?</t>
  </si>
  <si>
    <t>Kriterler tanımlı + Standart çıktı</t>
  </si>
  <si>
    <t>Proje güncelleme.</t>
  </si>
  <si>
    <t>Proje yöneticisi olarak bu proje bilgilerini paydaş güncelleme mektubuna çevir: [BİLGİLER]. Yapı: 1) Özet durum (🟢/🟡/🔴) 2) Tamamlananlar 3) Riskler ve önlemler 4) Sonraki dönem planı 5) Destek/onay gereken konular. Teknik detaydan kaçın.</t>
  </si>
  <si>
    <t>Hangi format? Hangi ton?</t>
  </si>
  <si>
    <t>Statü görseli + Hedef kitle</t>
  </si>
  <si>
    <t>Karar ne olmalı?</t>
  </si>
  <si>
    <t>Risk komitesi üyesi olarak bu dosya için oy kullan: [VERİ]. Sırasıyla: 1) En güçlü onay argümanı 2) En güçlü red argümanı 3) Kritik belirsizlik/eksik bilgi 4) Kendi oyun ve kısa gerekçe. Tarafsız, gerçek temelli.</t>
  </si>
  <si>
    <t>Nasıl karar verilecek? Hangi perspektif?</t>
  </si>
  <si>
    <t>CoT + Dengeli analiz</t>
  </si>
  <si>
    <t>Bu müşteriyi analiz et.</t>
  </si>
  <si>
    <t>Müşteri segmentasyon uzmanı olarak bu profili analiz et: [MÜŞTERİ VERİSİ]. Çıktı: Segment (Premium/Kitlesel/Yeni/Riskli) + Churn riski (Düşük/Orta/Yüksek) + En uygun 2 ürün önerisi + İletişim kanalı tercihi. Gerekçeli.</t>
  </si>
  <si>
    <t>Hangi boyutlar? Nasıl çıktı?</t>
  </si>
  <si>
    <t>Boyutlar + Gerekçe zorunlu</t>
  </si>
  <si>
    <t>Genel</t>
  </si>
  <si>
    <t>Bana yardım et.</t>
  </si>
  <si>
    <t>İş analisti olarak şu konuda yardım istiyorum: [GÖREV]. Bağlam: [AÇIKLAMA]. İstenen çıktı: [FORMAT]. Kısıtlamalar: [VARSA]. Bilmediğinde tahmin etme, "daha fazla bilgiye ihtiyacım var" de.</t>
  </si>
  <si>
    <t>Hiçbir bilgi yok, çıktı belirsiz</t>
  </si>
  <si>
    <t>RRCT çerçevesi + Hallucination önleme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</si>
</sst>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TL&quot;"/>
    <numFmt numFmtId="165" formatCode="#,##0.0"/>
  </numFmts>
  <fonts count="23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sz val="11"/>
      <color rgb="FF1A1A2E"/>
      <name val="Calibri"/>
      <charset val="1"/>
    </font>
    <font>
      <b/>
      <sz val="11"/>
      <color rgb="FF92400E"/>
      <name val="Calibri"/>
      <charset val="1"/>
    </font>
    <font>
      <b/>
      <sz val="10"/>
      <color rgb="FFFFFFFF"/>
      <name val="Calibri"/>
      <charset val="1"/>
    </font>
    <font>
      <sz val="10"/>
      <color rgb="FF1A1A2E"/>
      <name val="Calibri"/>
      <charset val="1"/>
    </font>
    <font>
      <b/>
      <sz val="10"/>
      <color rgb="FFC0392B"/>
      <name val="Calibri"/>
      <charset val="1"/>
    </font>
    <font>
      <b/>
      <sz val="10"/>
      <color rgb="FF92400E"/>
      <name val="Calibri"/>
      <charset val="1"/>
    </font>
    <font>
      <b/>
      <sz val="10"/>
      <color rgb="FF0A7C41"/>
      <name val="Calibri"/>
      <charset val="1"/>
    </font>
    <font>
      <b/>
      <sz val="10"/>
      <color rgb="FF1A1A2E"/>
      <name val="Calibri"/>
      <charset val="1"/>
    </font>
    <font>
      <sz val="10"/>
      <color rgb="FFC0392B"/>
      <name val="Calibri"/>
      <charset val="1"/>
    </font>
    <font>
      <b/>
      <sz val="10"/>
      <color rgb="FF1A56DB"/>
      <name val="Calibri"/>
      <charset val="1"/>
    </font>
    <font>
      <b/>
      <sz val="11"/>
      <color rgb="FF1A1A2E"/>
      <name val="Calibri"/>
      <charset val="1"/>
    </font>
    <font>
      <b/>
      <sz val="10"/>
      <color rgb="FFF59E0B"/>
      <name val="Calibri"/>
      <charset val="1"/>
    </font>
    <font>
      <b/>
      <sz val="10"/>
      <color rgb="FF00B4A0"/>
      <name val="Calibri"/>
      <charset val="1"/>
    </font>
    <font>
      <b/>
      <sz val="10"/>
      <color rgb="FF6D28D9"/>
      <name val="Calibri"/>
      <charset val="1"/>
    </font>
    <font>
      <b/>
      <sz val="10"/>
      <color rgb="FF0A2540"/>
      <name val="Calibri"/>
      <charset val="1"/>
    </font>
    <font>
      <b/>
      <sz val="12"/>
      <color rgb="FF1A1A2E"/>
      <name val="Calibri"/>
      <charset val="1"/>
    </font>
    <font>
      <b/>
      <sz val="11"/>
      <color rgb="FF1A56DB"/>
      <name val="Calibri"/>
      <charset val="1"/>
    </font>
    <font>
      <sz val="10"/>
      <color rgb="FF0A7C41"/>
      <name val="Calibri"/>
      <charset val="1"/>
    </font>
    <font>
      <sz val="10"/>
      <color theme="0"/>
      <name val="Calibri"/>
      <family val="2"/>
    </font>
    <font>
      <b/>
      <sz val="11"/>
      <color theme="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0A2540"/>
        <bgColor rgb="FF1A1A2E"/>
      </patternFill>
    </fill>
    <fill>
      <patternFill patternType="solid">
        <fgColor rgb="FF00B4A0"/>
        <bgColor rgb="FF33CCCC"/>
      </patternFill>
    </fill>
    <fill>
      <patternFill patternType="solid">
        <fgColor rgb="FF1A56DB"/>
        <bgColor rgb="FF3366FF"/>
      </patternFill>
    </fill>
    <fill>
      <patternFill patternType="solid">
        <fgColor rgb="FFF59E0B"/>
        <bgColor rgb="FFFFCC00"/>
      </patternFill>
    </fill>
    <fill>
      <patternFill patternType="solid">
        <fgColor rgb="FFFFFFFF"/>
        <bgColor rgb="FFFFFFF0"/>
      </patternFill>
    </fill>
    <fill>
      <patternFill patternType="solid">
        <fgColor rgb="FFE8EEF8"/>
        <bgColor rgb="FFF0F4FF"/>
      </patternFill>
    </fill>
    <fill>
      <patternFill patternType="solid">
        <fgColor rgb="FFFFFBEB"/>
        <bgColor rgb="FFFFF8E7"/>
      </patternFill>
    </fill>
    <fill>
      <patternFill patternType="solid">
        <fgColor rgb="FFFFF0F0"/>
        <bgColor rgb="FFFFF8E7"/>
      </patternFill>
    </fill>
    <fill>
      <patternFill patternType="solid">
        <fgColor rgb="FFF0F4FF"/>
        <bgColor rgb="FFF0F8FF"/>
      </patternFill>
    </fill>
    <fill>
      <patternFill patternType="solid">
        <fgColor rgb="FFE8FFF4"/>
        <bgColor rgb="FFF0FFF4"/>
      </patternFill>
    </fill>
    <fill>
      <patternFill patternType="solid">
        <fgColor rgb="FF0A7C41"/>
        <bgColor rgb="FF008080"/>
      </patternFill>
    </fill>
    <fill>
      <patternFill patternType="solid">
        <fgColor rgb="FFC0392B"/>
        <bgColor rgb="FF92400E"/>
      </patternFill>
    </fill>
    <fill>
      <patternFill patternType="solid">
        <fgColor rgb="FF6D28D9"/>
        <bgColor rgb="FF800080"/>
      </patternFill>
    </fill>
    <fill>
      <patternFill patternType="solid">
        <fgColor rgb="FFFFF8E7"/>
        <bgColor rgb="FFFFFBEB"/>
      </patternFill>
    </fill>
    <fill>
      <patternFill patternType="solid">
        <fgColor rgb="FFF0FFF4"/>
        <bgColor rgb="FFE8FFF4"/>
      </patternFill>
    </fill>
    <fill>
      <patternFill patternType="solid">
        <fgColor rgb="FF56DB22"/>
        <bgColor rgb="FF28D922"/>
      </patternFill>
    </fill>
    <fill>
      <patternFill patternType="solid">
        <fgColor rgb="FFFFFEF0"/>
        <bgColor rgb="FFFFFFF0"/>
      </patternFill>
    </fill>
    <fill>
      <patternFill patternType="solid">
        <fgColor rgb="FF7C4122"/>
        <bgColor rgb="FF92400E"/>
      </patternFill>
    </fill>
    <fill>
      <patternFill patternType="solid">
        <fgColor rgb="FF9E0B22"/>
        <bgColor rgb="FF800000"/>
      </patternFill>
    </fill>
    <fill>
      <patternFill patternType="solid">
        <fgColor rgb="FF392B22"/>
        <bgColor rgb="FF254022"/>
      </patternFill>
    </fill>
    <fill>
      <patternFill patternType="solid">
        <fgColor rgb="FFB4A022"/>
        <bgColor rgb="FFF59E0B"/>
      </patternFill>
    </fill>
    <fill>
      <patternFill patternType="solid">
        <fgColor rgb="FF28D922"/>
        <bgColor rgb="FF56DB22"/>
      </patternFill>
    </fill>
    <fill>
      <patternFill patternType="solid">
        <fgColor rgb="FF254022"/>
        <bgColor rgb="FF392B22"/>
      </patternFill>
    </fill>
    <fill>
      <patternFill patternType="solid">
        <fgColor rgb="FFFFFFF0"/>
        <bgColor rgb="FFFFFEF0"/>
      </patternFill>
    </fill>
    <fill>
      <patternFill patternType="solid">
        <fgColor rgb="FFF0F8FF"/>
        <bgColor rgb="FFF0F4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59E0B"/>
      </bottom>
      <diagonal/>
    </border>
    <border>
      <left style="thin">
        <color rgb="FFCCCCCC"/>
      </left>
      <right style="thin">
        <color rgb="FFCCCCCC"/>
      </right>
      <top/>
      <bottom style="medium">
        <color rgb="FF1A56DB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14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8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3" fontId="6" fillId="6" borderId="3" xfId="0" applyNumberFormat="1" applyFont="1" applyFill="1" applyBorder="1" applyAlignment="1">
      <alignment horizontal="righ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left" vertical="center" wrapText="1"/>
    </xf>
    <xf numFmtId="3" fontId="6" fillId="10" borderId="3" xfId="0" applyNumberFormat="1" applyFont="1" applyFill="1" applyBorder="1" applyAlignment="1">
      <alignment horizontal="right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1" fontId="5" fillId="12" borderId="2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1" fontId="5" fillId="13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64" fontId="5" fillId="14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9" fillId="1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6" fillId="6" borderId="3" xfId="0" applyNumberFormat="1" applyFont="1" applyFill="1" applyBorder="1" applyAlignment="1">
      <alignment horizontal="center" vertical="center" wrapText="1"/>
    </xf>
    <xf numFmtId="165" fontId="6" fillId="6" borderId="3" xfId="0" applyNumberFormat="1" applyFont="1" applyFill="1" applyBorder="1" applyAlignment="1">
      <alignment horizontal="right" vertical="center" wrapText="1"/>
    </xf>
    <xf numFmtId="165" fontId="6" fillId="6" borderId="3" xfId="0" applyNumberFormat="1" applyFont="1" applyFill="1" applyBorder="1" applyAlignment="1">
      <alignment horizontal="center" vertical="center" wrapText="1"/>
    </xf>
    <xf numFmtId="3" fontId="6" fillId="10" borderId="3" xfId="0" applyNumberFormat="1" applyFont="1" applyFill="1" applyBorder="1" applyAlignment="1">
      <alignment horizontal="center" vertical="center" wrapText="1"/>
    </xf>
    <xf numFmtId="165" fontId="6" fillId="10" borderId="3" xfId="0" applyNumberFormat="1" applyFont="1" applyFill="1" applyBorder="1" applyAlignment="1">
      <alignment horizontal="right" vertical="center" wrapText="1"/>
    </xf>
    <xf numFmtId="165" fontId="6" fillId="10" borderId="3" xfId="0" applyNumberFormat="1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vertical="center" wrapText="1"/>
    </xf>
    <xf numFmtId="3" fontId="11" fillId="9" borderId="3" xfId="0" applyNumberFormat="1" applyFont="1" applyFill="1" applyBorder="1" applyAlignment="1">
      <alignment horizontal="right" vertical="center" wrapText="1"/>
    </xf>
    <xf numFmtId="0" fontId="12" fillId="17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6" fillId="18" borderId="3" xfId="0" applyFont="1" applyFill="1" applyBorder="1" applyAlignment="1">
      <alignment horizontal="left" vertical="center" wrapText="1"/>
    </xf>
    <xf numFmtId="0" fontId="9" fillId="19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14" fillId="20" borderId="3" xfId="0" applyFont="1" applyFill="1" applyBorder="1" applyAlignment="1">
      <alignment horizontal="center" vertical="center" wrapText="1"/>
    </xf>
    <xf numFmtId="0" fontId="7" fillId="21" borderId="3" xfId="0" applyFont="1" applyFill="1" applyBorder="1" applyAlignment="1">
      <alignment horizontal="center" vertical="center" wrapText="1"/>
    </xf>
    <xf numFmtId="0" fontId="15" fillId="22" borderId="3" xfId="0" applyFont="1" applyFill="1" applyBorder="1" applyAlignment="1">
      <alignment horizontal="left" vertical="center" wrapText="1"/>
    </xf>
    <xf numFmtId="0" fontId="16" fillId="23" borderId="3" xfId="0" applyFont="1" applyFill="1" applyBorder="1" applyAlignment="1">
      <alignment horizontal="left" vertical="center" wrapText="1"/>
    </xf>
    <xf numFmtId="0" fontId="7" fillId="21" borderId="3" xfId="0" applyFont="1" applyFill="1" applyBorder="1" applyAlignment="1">
      <alignment horizontal="left" vertical="center" wrapText="1"/>
    </xf>
    <xf numFmtId="0" fontId="17" fillId="24" borderId="3" xfId="0" applyFont="1" applyFill="1" applyBorder="1" applyAlignment="1">
      <alignment horizontal="left" vertical="center" wrapText="1"/>
    </xf>
    <xf numFmtId="0" fontId="9" fillId="19" borderId="3" xfId="0" applyFont="1" applyFill="1" applyBorder="1" applyAlignment="1">
      <alignment horizontal="left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6" fillId="25" borderId="3" xfId="0" applyFont="1" applyFill="1" applyBorder="1" applyAlignment="1">
      <alignment horizontal="left" vertical="center" wrapText="1"/>
    </xf>
    <xf numFmtId="0" fontId="19" fillId="26" borderId="3" xfId="0" applyFont="1" applyFill="1" applyBorder="1" applyAlignment="1">
      <alignment horizontal="left" vertical="center" wrapText="1"/>
    </xf>
    <xf numFmtId="0" fontId="6" fillId="20" borderId="3" xfId="0" applyFont="1" applyFill="1" applyBorder="1" applyAlignment="1">
      <alignment horizontal="left" vertical="center" wrapText="1"/>
    </xf>
    <xf numFmtId="0" fontId="18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horizontal="left" vertical="center" wrapText="1"/>
    </xf>
    <xf numFmtId="0" fontId="21" fillId="20" borderId="3" xfId="0" applyFont="1" applyFill="1" applyBorder="1" applyAlignment="1">
      <alignment horizontal="left" vertical="center" wrapText="1"/>
    </xf>
    <xf numFmtId="0" fontId="22" fillId="22" borderId="3" xfId="0" applyFont="1" applyFill="1" applyBorder="1" applyAlignment="1">
      <alignment horizontal="left" vertical="center" wrapText="1"/>
    </xf>
    <xf numFmtId="0" fontId="21" fillId="19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28D922"/>
      <rgbColor rgb="FF0000FF"/>
      <rgbColor rgb="FFFFFFF0"/>
      <rgbColor rgb="FFFF00FF"/>
      <rgbColor rgb="FF00FFFF"/>
      <rgbColor rgb="FF9E0B22"/>
      <rgbColor rgb="FF008000"/>
      <rgbColor rgb="FF000080"/>
      <rgbColor rgb="FF808000"/>
      <rgbColor rgb="FF800080"/>
      <rgbColor rgb="FF0A7C41"/>
      <rgbColor rgb="FFCCCCCC"/>
      <rgbColor rgb="FF808080"/>
      <rgbColor rgb="FF9999FF"/>
      <rgbColor rgb="FFC0392B"/>
      <rgbColor rgb="FFFFF8E7"/>
      <rgbColor rgb="FFE8FFF4"/>
      <rgbColor rgb="FF660066"/>
      <rgbColor rgb="FFFF8080"/>
      <rgbColor rgb="FF1A56DB"/>
      <rgbColor rgb="FFDDDDDD"/>
      <rgbColor rgb="FF000080"/>
      <rgbColor rgb="FFFF00FF"/>
      <rgbColor rgb="FFFFFEF0"/>
      <rgbColor rgb="FF00FFFF"/>
      <rgbColor rgb="FF800080"/>
      <rgbColor rgb="FF800000"/>
      <rgbColor rgb="FF008080"/>
      <rgbColor rgb="FF0000FF"/>
      <rgbColor rgb="FF00B4A0"/>
      <rgbColor rgb="FFF0FFF4"/>
      <rgbColor rgb="FFE8EEF8"/>
      <rgbColor rgb="FFFFFBEB"/>
      <rgbColor rgb="FFF0F4FF"/>
      <rgbColor rgb="FFF0F8FF"/>
      <rgbColor rgb="FFCC99FF"/>
      <rgbColor rgb="FFFFF0F0"/>
      <rgbColor rgb="FF3366FF"/>
      <rgbColor rgb="FF33CCCC"/>
      <rgbColor rgb="FFB4A022"/>
      <rgbColor rgb="FFFFCC00"/>
      <rgbColor rgb="FFF59E0B"/>
      <rgbColor rgb="FFFF6600"/>
      <rgbColor rgb="FF666699"/>
      <rgbColor rgb="FF969696"/>
      <rgbColor rgb="FF0A2540"/>
      <rgbColor rgb="FF56DB22"/>
      <rgbColor rgb="FF1A1A2E"/>
      <rgbColor rgb="FF254022"/>
      <rgbColor rgb="FF92400E"/>
      <rgbColor rgb="FF7C4122"/>
      <rgbColor rgb="FF6D28D9"/>
      <rgbColor rgb="FF392B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>
      <pane ySplit="2" topLeftCell="A3" activePane="bottomLeft" state="frozen"/>
      <selection pane="bottomLeft" sqref="A1:D1"/>
    </sheetView>
  </sheetViews>
  <sheetFormatPr baseColWidth="10" defaultColWidth="8.6640625" defaultRowHeight="15" x14ac:dyDescent="0.2"/>
  <cols>
    <col min="1" max="1" width="28" customWidth="1"/>
    <col min="2" max="2" width="38" customWidth="1"/>
    <col min="3" max="3" width="46" customWidth="1"/>
    <col min="4" max="4" width="28" customWidth="1"/>
  </cols>
  <sheetData>
    <row r="1" spans="1:4" ht="25.5" customHeight="1" x14ac:dyDescent="0.2">
      <c r="A1" s="6" t="s">
        <v>0</v>
      </c>
      <c r="B1" s="6"/>
      <c r="C1" s="6"/>
      <c r="D1" s="6"/>
    </row>
    <row r="2" spans="1:4" ht="31.5" customHeight="1" x14ac:dyDescent="0.2">
      <c r="A2" s="7" t="s">
        <v>1</v>
      </c>
      <c r="B2" s="8" t="s">
        <v>2</v>
      </c>
      <c r="C2" s="9" t="s">
        <v>3</v>
      </c>
      <c r="D2" s="10" t="s">
        <v>4</v>
      </c>
    </row>
    <row r="3" spans="1:4" ht="27.75" customHeight="1" x14ac:dyDescent="0.2">
      <c r="A3" s="11" t="s">
        <v>5</v>
      </c>
      <c r="B3" s="12" t="s">
        <v>6</v>
      </c>
      <c r="C3" s="12" t="s">
        <v>7</v>
      </c>
      <c r="D3" s="12" t="s">
        <v>8</v>
      </c>
    </row>
    <row r="4" spans="1:4" ht="27.75" customHeight="1" x14ac:dyDescent="0.2">
      <c r="A4" s="13" t="s">
        <v>9</v>
      </c>
      <c r="B4" s="14" t="s">
        <v>10</v>
      </c>
      <c r="C4" s="14" t="s">
        <v>11</v>
      </c>
      <c r="D4" s="14" t="s">
        <v>12</v>
      </c>
    </row>
    <row r="5" spans="1:4" ht="27.75" customHeight="1" x14ac:dyDescent="0.2">
      <c r="A5" s="11" t="s">
        <v>13</v>
      </c>
      <c r="B5" s="12" t="s">
        <v>14</v>
      </c>
      <c r="C5" s="12" t="s">
        <v>15</v>
      </c>
      <c r="D5" s="12" t="s">
        <v>16</v>
      </c>
    </row>
    <row r="6" spans="1:4" ht="27.75" customHeight="1" x14ac:dyDescent="0.2">
      <c r="A6" s="13" t="s">
        <v>17</v>
      </c>
      <c r="B6" s="14" t="s">
        <v>18</v>
      </c>
      <c r="C6" s="14" t="s">
        <v>19</v>
      </c>
      <c r="D6" s="14" t="s">
        <v>20</v>
      </c>
    </row>
    <row r="7" spans="1:4" ht="27.75" customHeight="1" x14ac:dyDescent="0.2">
      <c r="A7" s="11" t="s">
        <v>21</v>
      </c>
      <c r="B7" s="12" t="s">
        <v>22</v>
      </c>
      <c r="C7" s="12" t="s">
        <v>23</v>
      </c>
      <c r="D7" s="12" t="s">
        <v>24</v>
      </c>
    </row>
    <row r="8" spans="1:4" ht="27.75" customHeight="1" x14ac:dyDescent="0.2">
      <c r="A8" s="13" t="s">
        <v>25</v>
      </c>
      <c r="B8" s="14" t="s">
        <v>26</v>
      </c>
      <c r="C8" s="14" t="s">
        <v>27</v>
      </c>
      <c r="D8" s="14" t="s">
        <v>28</v>
      </c>
    </row>
    <row r="9" spans="1:4" ht="27.75" customHeight="1" x14ac:dyDescent="0.2">
      <c r="A9" s="11" t="s">
        <v>29</v>
      </c>
      <c r="B9" s="12" t="s">
        <v>30</v>
      </c>
      <c r="C9" s="12" t="s">
        <v>31</v>
      </c>
      <c r="D9" s="12" t="s">
        <v>32</v>
      </c>
    </row>
    <row r="11" spans="1:4" ht="39.75" customHeight="1" x14ac:dyDescent="0.2">
      <c r="A11" s="5" t="s">
        <v>33</v>
      </c>
      <c r="B11" s="5"/>
      <c r="C11" s="5"/>
      <c r="D11" s="5"/>
    </row>
  </sheetData>
  <mergeCells count="2">
    <mergeCell ref="A1:D1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zoomScaleNormal="100" workbookViewId="0">
      <pane ySplit="2" topLeftCell="A9" activePane="bottomLeft" state="frozen"/>
      <selection pane="bottomLeft" activeCell="H56" sqref="H56"/>
    </sheetView>
  </sheetViews>
  <sheetFormatPr baseColWidth="10" defaultColWidth="8.6640625" defaultRowHeight="15" x14ac:dyDescent="0.2"/>
  <cols>
    <col min="1" max="1" width="16" customWidth="1"/>
    <col min="2" max="2" width="15" customWidth="1"/>
    <col min="3" max="3" width="6" customWidth="1"/>
    <col min="4" max="4" width="19" customWidth="1"/>
    <col min="5" max="5" width="12" customWidth="1"/>
    <col min="6" max="6" width="16" customWidth="1"/>
    <col min="7" max="7" width="14" customWidth="1"/>
    <col min="8" max="8" width="15" customWidth="1"/>
    <col min="9" max="9" width="12" customWidth="1"/>
    <col min="10" max="10" width="17" customWidth="1"/>
    <col min="11" max="11" width="8" customWidth="1"/>
    <col min="12" max="12" width="13" customWidth="1"/>
    <col min="13" max="13" width="14" customWidth="1"/>
    <col min="14" max="14" width="13" customWidth="1"/>
  </cols>
  <sheetData>
    <row r="1" spans="1:14" ht="25.5" customHeight="1" x14ac:dyDescent="0.2">
      <c r="A1" s="6" t="s">
        <v>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39.75" customHeight="1" x14ac:dyDescent="0.2">
      <c r="A2" s="15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5" t="s">
        <v>43</v>
      </c>
      <c r="J2" s="15" t="s">
        <v>44</v>
      </c>
      <c r="K2" s="15" t="s">
        <v>45</v>
      </c>
      <c r="L2" s="15" t="s">
        <v>46</v>
      </c>
      <c r="M2" s="15" t="s">
        <v>47</v>
      </c>
      <c r="N2" s="15" t="s">
        <v>48</v>
      </c>
    </row>
    <row r="3" spans="1:14" ht="15" customHeight="1" x14ac:dyDescent="0.2">
      <c r="A3" s="16" t="s">
        <v>49</v>
      </c>
      <c r="B3" s="17" t="s">
        <v>50</v>
      </c>
      <c r="C3" s="16">
        <v>31</v>
      </c>
      <c r="D3" s="17" t="s">
        <v>51</v>
      </c>
      <c r="E3" s="16">
        <v>24</v>
      </c>
      <c r="F3" s="18">
        <v>105000</v>
      </c>
      <c r="G3" s="18">
        <v>46264</v>
      </c>
      <c r="H3" s="18">
        <v>0</v>
      </c>
      <c r="I3" s="16">
        <v>1009</v>
      </c>
      <c r="J3" s="18">
        <v>1800000</v>
      </c>
      <c r="K3" s="16">
        <v>12</v>
      </c>
      <c r="L3" s="16" t="s">
        <v>52</v>
      </c>
      <c r="M3" s="16" t="s">
        <v>53</v>
      </c>
      <c r="N3" s="19" t="s">
        <v>54</v>
      </c>
    </row>
    <row r="4" spans="1:14" ht="15" customHeight="1" x14ac:dyDescent="0.2">
      <c r="A4" s="20" t="s">
        <v>55</v>
      </c>
      <c r="B4" s="21" t="s">
        <v>56</v>
      </c>
      <c r="C4" s="20">
        <v>25</v>
      </c>
      <c r="D4" s="21" t="s">
        <v>57</v>
      </c>
      <c r="E4" s="20">
        <v>7</v>
      </c>
      <c r="F4" s="22">
        <v>90000</v>
      </c>
      <c r="G4" s="22">
        <v>48328</v>
      </c>
      <c r="H4" s="22">
        <v>0</v>
      </c>
      <c r="I4" s="20">
        <v>1207</v>
      </c>
      <c r="J4" s="22">
        <v>1800000</v>
      </c>
      <c r="K4" s="20">
        <v>48</v>
      </c>
      <c r="L4" s="20" t="s">
        <v>58</v>
      </c>
      <c r="M4" s="20" t="s">
        <v>59</v>
      </c>
      <c r="N4" s="23" t="s">
        <v>60</v>
      </c>
    </row>
    <row r="5" spans="1:14" ht="15" customHeight="1" x14ac:dyDescent="0.2">
      <c r="A5" s="16" t="s">
        <v>61</v>
      </c>
      <c r="B5" s="17" t="s">
        <v>62</v>
      </c>
      <c r="C5" s="16">
        <v>41</v>
      </c>
      <c r="D5" s="17" t="s">
        <v>63</v>
      </c>
      <c r="E5" s="16">
        <v>1</v>
      </c>
      <c r="F5" s="18">
        <v>70000</v>
      </c>
      <c r="G5" s="18">
        <v>42581</v>
      </c>
      <c r="H5" s="18">
        <v>150000</v>
      </c>
      <c r="I5" s="16">
        <v>1369</v>
      </c>
      <c r="J5" s="18">
        <v>550000</v>
      </c>
      <c r="K5" s="16">
        <v>24</v>
      </c>
      <c r="L5" s="16" t="s">
        <v>64</v>
      </c>
      <c r="M5" s="16" t="s">
        <v>65</v>
      </c>
      <c r="N5" s="19" t="s">
        <v>54</v>
      </c>
    </row>
    <row r="6" spans="1:14" ht="15" customHeight="1" x14ac:dyDescent="0.2">
      <c r="A6" s="20" t="s">
        <v>66</v>
      </c>
      <c r="B6" s="21" t="s">
        <v>67</v>
      </c>
      <c r="C6" s="20">
        <v>48</v>
      </c>
      <c r="D6" s="21" t="s">
        <v>57</v>
      </c>
      <c r="E6" s="20">
        <v>12</v>
      </c>
      <c r="F6" s="22">
        <v>130000</v>
      </c>
      <c r="G6" s="22">
        <v>74539</v>
      </c>
      <c r="H6" s="22">
        <v>0</v>
      </c>
      <c r="I6" s="20">
        <v>1740</v>
      </c>
      <c r="J6" s="22">
        <v>1800000</v>
      </c>
      <c r="K6" s="20">
        <v>12</v>
      </c>
      <c r="L6" s="20" t="s">
        <v>68</v>
      </c>
      <c r="M6" s="20" t="s">
        <v>69</v>
      </c>
      <c r="N6" s="19" t="s">
        <v>54</v>
      </c>
    </row>
    <row r="7" spans="1:14" ht="15" customHeight="1" x14ac:dyDescent="0.2">
      <c r="A7" s="16" t="s">
        <v>70</v>
      </c>
      <c r="B7" s="17" t="s">
        <v>71</v>
      </c>
      <c r="C7" s="16">
        <v>42</v>
      </c>
      <c r="D7" s="17" t="s">
        <v>72</v>
      </c>
      <c r="E7" s="16">
        <v>21</v>
      </c>
      <c r="F7" s="18">
        <v>135000</v>
      </c>
      <c r="G7" s="18">
        <v>76088</v>
      </c>
      <c r="H7" s="18">
        <v>0</v>
      </c>
      <c r="I7" s="16">
        <v>893</v>
      </c>
      <c r="J7" s="18">
        <v>800000</v>
      </c>
      <c r="K7" s="16">
        <v>120</v>
      </c>
      <c r="L7" s="16" t="s">
        <v>64</v>
      </c>
      <c r="M7" s="16" t="s">
        <v>73</v>
      </c>
      <c r="N7" s="19" t="s">
        <v>54</v>
      </c>
    </row>
    <row r="8" spans="1:14" ht="15" customHeight="1" x14ac:dyDescent="0.2">
      <c r="A8" s="20" t="s">
        <v>74</v>
      </c>
      <c r="B8" s="21" t="s">
        <v>75</v>
      </c>
      <c r="C8" s="20">
        <v>30</v>
      </c>
      <c r="D8" s="21" t="s">
        <v>76</v>
      </c>
      <c r="E8" s="20">
        <v>9</v>
      </c>
      <c r="F8" s="22">
        <v>165000</v>
      </c>
      <c r="G8" s="22">
        <v>96558</v>
      </c>
      <c r="H8" s="22">
        <v>150000</v>
      </c>
      <c r="I8" s="20">
        <v>1133</v>
      </c>
      <c r="J8" s="22">
        <v>1250000</v>
      </c>
      <c r="K8" s="20">
        <v>36</v>
      </c>
      <c r="L8" s="20" t="s">
        <v>58</v>
      </c>
      <c r="M8" s="20" t="s">
        <v>77</v>
      </c>
      <c r="N8" s="19" t="s">
        <v>54</v>
      </c>
    </row>
    <row r="9" spans="1:14" ht="15" customHeight="1" x14ac:dyDescent="0.2">
      <c r="A9" s="16" t="s">
        <v>78</v>
      </c>
      <c r="B9" s="17" t="s">
        <v>79</v>
      </c>
      <c r="C9" s="16">
        <v>28</v>
      </c>
      <c r="D9" s="17" t="s">
        <v>80</v>
      </c>
      <c r="E9" s="16">
        <v>21</v>
      </c>
      <c r="F9" s="18">
        <v>70000</v>
      </c>
      <c r="G9" s="18">
        <v>38334</v>
      </c>
      <c r="H9" s="18">
        <v>50000</v>
      </c>
      <c r="I9" s="16">
        <v>1134</v>
      </c>
      <c r="J9" s="18">
        <v>1550000</v>
      </c>
      <c r="K9" s="16">
        <v>48</v>
      </c>
      <c r="L9" s="16" t="s">
        <v>64</v>
      </c>
      <c r="M9" s="16" t="s">
        <v>81</v>
      </c>
      <c r="N9" s="19" t="s">
        <v>54</v>
      </c>
    </row>
    <row r="10" spans="1:14" ht="15" customHeight="1" x14ac:dyDescent="0.2">
      <c r="A10" s="20" t="s">
        <v>82</v>
      </c>
      <c r="B10" s="21" t="s">
        <v>83</v>
      </c>
      <c r="C10" s="20">
        <v>38</v>
      </c>
      <c r="D10" s="21" t="s">
        <v>84</v>
      </c>
      <c r="E10" s="20">
        <v>11</v>
      </c>
      <c r="F10" s="22">
        <v>35000</v>
      </c>
      <c r="G10" s="22">
        <v>15216</v>
      </c>
      <c r="H10" s="22">
        <v>0</v>
      </c>
      <c r="I10" s="20">
        <v>1446</v>
      </c>
      <c r="J10" s="22">
        <v>1350000</v>
      </c>
      <c r="K10" s="20">
        <v>36</v>
      </c>
      <c r="L10" s="20" t="s">
        <v>85</v>
      </c>
      <c r="M10" s="20" t="s">
        <v>86</v>
      </c>
      <c r="N10" s="23" t="s">
        <v>60</v>
      </c>
    </row>
    <row r="11" spans="1:14" ht="15" customHeight="1" x14ac:dyDescent="0.2">
      <c r="A11" s="16" t="s">
        <v>87</v>
      </c>
      <c r="B11" s="17" t="s">
        <v>88</v>
      </c>
      <c r="C11" s="16">
        <v>44</v>
      </c>
      <c r="D11" s="17" t="s">
        <v>89</v>
      </c>
      <c r="E11" s="16">
        <v>21</v>
      </c>
      <c r="F11" s="18">
        <v>175000</v>
      </c>
      <c r="G11" s="18">
        <v>86867</v>
      </c>
      <c r="H11" s="18">
        <v>250000</v>
      </c>
      <c r="I11" s="16">
        <v>1092</v>
      </c>
      <c r="J11" s="18">
        <v>900000</v>
      </c>
      <c r="K11" s="16">
        <v>24</v>
      </c>
      <c r="L11" s="16" t="s">
        <v>58</v>
      </c>
      <c r="M11" s="16" t="s">
        <v>90</v>
      </c>
      <c r="N11" s="19" t="s">
        <v>54</v>
      </c>
    </row>
    <row r="12" spans="1:14" ht="15" customHeight="1" x14ac:dyDescent="0.2">
      <c r="A12" s="20" t="s">
        <v>91</v>
      </c>
      <c r="B12" s="21" t="s">
        <v>92</v>
      </c>
      <c r="C12" s="20">
        <v>58</v>
      </c>
      <c r="D12" s="21" t="s">
        <v>93</v>
      </c>
      <c r="E12" s="20">
        <v>24</v>
      </c>
      <c r="F12" s="22">
        <v>155000</v>
      </c>
      <c r="G12" s="22">
        <v>105740</v>
      </c>
      <c r="H12" s="22">
        <v>200000</v>
      </c>
      <c r="I12" s="20">
        <v>1541</v>
      </c>
      <c r="J12" s="22">
        <v>800000</v>
      </c>
      <c r="K12" s="20">
        <v>24</v>
      </c>
      <c r="L12" s="20" t="s">
        <v>52</v>
      </c>
      <c r="M12" s="20" t="s">
        <v>94</v>
      </c>
      <c r="N12" s="19" t="s">
        <v>54</v>
      </c>
    </row>
    <row r="13" spans="1:14" ht="15" customHeight="1" x14ac:dyDescent="0.2">
      <c r="A13" s="16" t="s">
        <v>95</v>
      </c>
      <c r="B13" s="17" t="s">
        <v>96</v>
      </c>
      <c r="C13" s="16">
        <v>27</v>
      </c>
      <c r="D13" s="17" t="s">
        <v>72</v>
      </c>
      <c r="E13" s="16">
        <v>4</v>
      </c>
      <c r="F13" s="18">
        <v>65000</v>
      </c>
      <c r="G13" s="18">
        <v>37840</v>
      </c>
      <c r="H13" s="18">
        <v>200000</v>
      </c>
      <c r="I13" s="16">
        <v>930</v>
      </c>
      <c r="J13" s="18">
        <v>1300000</v>
      </c>
      <c r="K13" s="16">
        <v>48</v>
      </c>
      <c r="L13" s="16" t="s">
        <v>52</v>
      </c>
      <c r="M13" s="16" t="s">
        <v>59</v>
      </c>
      <c r="N13" s="19" t="s">
        <v>54</v>
      </c>
    </row>
    <row r="14" spans="1:14" ht="15" customHeight="1" x14ac:dyDescent="0.2">
      <c r="A14" s="20" t="s">
        <v>97</v>
      </c>
      <c r="B14" s="21" t="s">
        <v>98</v>
      </c>
      <c r="C14" s="20">
        <v>40</v>
      </c>
      <c r="D14" s="21" t="s">
        <v>99</v>
      </c>
      <c r="E14" s="20">
        <v>1</v>
      </c>
      <c r="F14" s="22">
        <v>55000</v>
      </c>
      <c r="G14" s="22">
        <v>33122</v>
      </c>
      <c r="H14" s="22">
        <v>100000</v>
      </c>
      <c r="I14" s="20">
        <v>1496</v>
      </c>
      <c r="J14" s="22">
        <v>450000</v>
      </c>
      <c r="K14" s="20">
        <v>36</v>
      </c>
      <c r="L14" s="20" t="s">
        <v>68</v>
      </c>
      <c r="M14" s="20" t="s">
        <v>100</v>
      </c>
      <c r="N14" s="19" t="s">
        <v>54</v>
      </c>
    </row>
    <row r="15" spans="1:14" ht="15" customHeight="1" x14ac:dyDescent="0.2">
      <c r="A15" s="16" t="s">
        <v>101</v>
      </c>
      <c r="B15" s="17" t="s">
        <v>102</v>
      </c>
      <c r="C15" s="16">
        <v>24</v>
      </c>
      <c r="D15" s="17" t="s">
        <v>103</v>
      </c>
      <c r="E15" s="16">
        <v>24</v>
      </c>
      <c r="F15" s="18">
        <v>100000</v>
      </c>
      <c r="G15" s="18">
        <v>70959</v>
      </c>
      <c r="H15" s="18">
        <v>0</v>
      </c>
      <c r="I15" s="16">
        <v>1839</v>
      </c>
      <c r="J15" s="18">
        <v>400000</v>
      </c>
      <c r="K15" s="16">
        <v>120</v>
      </c>
      <c r="L15" s="16" t="s">
        <v>104</v>
      </c>
      <c r="M15" s="16" t="s">
        <v>105</v>
      </c>
      <c r="N15" s="19" t="s">
        <v>54</v>
      </c>
    </row>
    <row r="16" spans="1:14" ht="15" customHeight="1" x14ac:dyDescent="0.2">
      <c r="A16" s="20" t="s">
        <v>106</v>
      </c>
      <c r="B16" s="21" t="s">
        <v>107</v>
      </c>
      <c r="C16" s="20">
        <v>56</v>
      </c>
      <c r="D16" s="21" t="s">
        <v>80</v>
      </c>
      <c r="E16" s="20">
        <v>7</v>
      </c>
      <c r="F16" s="22">
        <v>65000</v>
      </c>
      <c r="G16" s="22">
        <v>31742</v>
      </c>
      <c r="H16" s="22">
        <v>0</v>
      </c>
      <c r="I16" s="20">
        <v>1886</v>
      </c>
      <c r="J16" s="22">
        <v>100000</v>
      </c>
      <c r="K16" s="20">
        <v>60</v>
      </c>
      <c r="L16" s="20" t="s">
        <v>64</v>
      </c>
      <c r="M16" s="20" t="s">
        <v>94</v>
      </c>
      <c r="N16" s="23" t="s">
        <v>60</v>
      </c>
    </row>
    <row r="17" spans="1:14" ht="15" customHeight="1" x14ac:dyDescent="0.2">
      <c r="A17" s="16" t="s">
        <v>108</v>
      </c>
      <c r="B17" s="17" t="s">
        <v>109</v>
      </c>
      <c r="C17" s="16">
        <v>31</v>
      </c>
      <c r="D17" s="17" t="s">
        <v>110</v>
      </c>
      <c r="E17" s="16">
        <v>12</v>
      </c>
      <c r="F17" s="18">
        <v>115000</v>
      </c>
      <c r="G17" s="18">
        <v>50438</v>
      </c>
      <c r="H17" s="18">
        <v>50000</v>
      </c>
      <c r="I17" s="16">
        <v>961</v>
      </c>
      <c r="J17" s="18">
        <v>350000</v>
      </c>
      <c r="K17" s="16">
        <v>84</v>
      </c>
      <c r="L17" s="16" t="s">
        <v>68</v>
      </c>
      <c r="M17" s="16" t="s">
        <v>111</v>
      </c>
      <c r="N17" s="19" t="s">
        <v>54</v>
      </c>
    </row>
    <row r="18" spans="1:14" ht="15" customHeight="1" x14ac:dyDescent="0.2">
      <c r="A18" s="20" t="s">
        <v>112</v>
      </c>
      <c r="B18" s="21" t="s">
        <v>113</v>
      </c>
      <c r="C18" s="20">
        <v>58</v>
      </c>
      <c r="D18" s="21" t="s">
        <v>63</v>
      </c>
      <c r="E18" s="20">
        <v>5</v>
      </c>
      <c r="F18" s="22">
        <v>60000</v>
      </c>
      <c r="G18" s="22">
        <v>35646</v>
      </c>
      <c r="H18" s="22">
        <v>0</v>
      </c>
      <c r="I18" s="20">
        <v>1342</v>
      </c>
      <c r="J18" s="22">
        <v>1750000</v>
      </c>
      <c r="K18" s="20">
        <v>120</v>
      </c>
      <c r="L18" s="20" t="s">
        <v>52</v>
      </c>
      <c r="M18" s="20" t="s">
        <v>53</v>
      </c>
      <c r="N18" s="19" t="s">
        <v>54</v>
      </c>
    </row>
    <row r="19" spans="1:14" ht="15" customHeight="1" x14ac:dyDescent="0.2">
      <c r="A19" s="16" t="s">
        <v>114</v>
      </c>
      <c r="B19" s="17" t="s">
        <v>115</v>
      </c>
      <c r="C19" s="16">
        <v>58</v>
      </c>
      <c r="D19" s="17" t="s">
        <v>63</v>
      </c>
      <c r="E19" s="16">
        <v>24</v>
      </c>
      <c r="F19" s="18">
        <v>80000</v>
      </c>
      <c r="G19" s="18">
        <v>49103</v>
      </c>
      <c r="H19" s="18">
        <v>200000</v>
      </c>
      <c r="I19" s="16">
        <v>1564</v>
      </c>
      <c r="J19" s="18">
        <v>1500000</v>
      </c>
      <c r="K19" s="16">
        <v>60</v>
      </c>
      <c r="L19" s="16" t="s">
        <v>68</v>
      </c>
      <c r="M19" s="16" t="s">
        <v>65</v>
      </c>
      <c r="N19" s="19" t="s">
        <v>54</v>
      </c>
    </row>
    <row r="20" spans="1:14" ht="15" customHeight="1" x14ac:dyDescent="0.2">
      <c r="A20" s="20" t="s">
        <v>116</v>
      </c>
      <c r="B20" s="21" t="s">
        <v>117</v>
      </c>
      <c r="C20" s="20">
        <v>38</v>
      </c>
      <c r="D20" s="21" t="s">
        <v>57</v>
      </c>
      <c r="E20" s="20">
        <v>11</v>
      </c>
      <c r="F20" s="22">
        <v>25000</v>
      </c>
      <c r="G20" s="22">
        <v>14191</v>
      </c>
      <c r="H20" s="22">
        <v>50000</v>
      </c>
      <c r="I20" s="20">
        <v>1251</v>
      </c>
      <c r="J20" s="22">
        <v>100000</v>
      </c>
      <c r="K20" s="20">
        <v>12</v>
      </c>
      <c r="L20" s="20" t="s">
        <v>104</v>
      </c>
      <c r="M20" s="20" t="s">
        <v>118</v>
      </c>
      <c r="N20" s="19" t="s">
        <v>54</v>
      </c>
    </row>
    <row r="21" spans="1:14" ht="15" customHeight="1" x14ac:dyDescent="0.2">
      <c r="A21" s="16" t="s">
        <v>119</v>
      </c>
      <c r="B21" s="17" t="s">
        <v>120</v>
      </c>
      <c r="C21" s="16">
        <v>38</v>
      </c>
      <c r="D21" s="17" t="s">
        <v>57</v>
      </c>
      <c r="E21" s="16">
        <v>2</v>
      </c>
      <c r="F21" s="18">
        <v>125000</v>
      </c>
      <c r="G21" s="18">
        <v>47027</v>
      </c>
      <c r="H21" s="18">
        <v>50000</v>
      </c>
      <c r="I21" s="16">
        <v>1370</v>
      </c>
      <c r="J21" s="18">
        <v>1650000</v>
      </c>
      <c r="K21" s="16">
        <v>24</v>
      </c>
      <c r="L21" s="16" t="s">
        <v>52</v>
      </c>
      <c r="M21" s="16" t="s">
        <v>121</v>
      </c>
      <c r="N21" s="23" t="s">
        <v>60</v>
      </c>
    </row>
    <row r="22" spans="1:14" ht="15" customHeight="1" x14ac:dyDescent="0.2">
      <c r="A22" s="20" t="s">
        <v>122</v>
      </c>
      <c r="B22" s="21" t="s">
        <v>123</v>
      </c>
      <c r="C22" s="20">
        <v>54</v>
      </c>
      <c r="D22" s="21" t="s">
        <v>89</v>
      </c>
      <c r="E22" s="20">
        <v>16</v>
      </c>
      <c r="F22" s="22">
        <v>150000</v>
      </c>
      <c r="G22" s="22">
        <v>63067</v>
      </c>
      <c r="H22" s="22">
        <v>0</v>
      </c>
      <c r="I22" s="20">
        <v>1682</v>
      </c>
      <c r="J22" s="22">
        <v>1200000</v>
      </c>
      <c r="K22" s="20">
        <v>48</v>
      </c>
      <c r="L22" s="20" t="s">
        <v>68</v>
      </c>
      <c r="M22" s="20" t="s">
        <v>59</v>
      </c>
      <c r="N22" s="24" t="s">
        <v>124</v>
      </c>
    </row>
    <row r="23" spans="1:14" ht="15" customHeight="1" x14ac:dyDescent="0.2">
      <c r="A23" s="16" t="s">
        <v>125</v>
      </c>
      <c r="B23" s="17" t="s">
        <v>126</v>
      </c>
      <c r="C23" s="16">
        <v>27</v>
      </c>
      <c r="D23" s="17" t="s">
        <v>84</v>
      </c>
      <c r="E23" s="16">
        <v>21</v>
      </c>
      <c r="F23" s="18">
        <v>50000</v>
      </c>
      <c r="G23" s="18">
        <v>18621</v>
      </c>
      <c r="H23" s="18">
        <v>150000</v>
      </c>
      <c r="I23" s="16">
        <v>1023</v>
      </c>
      <c r="J23" s="18">
        <v>850000</v>
      </c>
      <c r="K23" s="16">
        <v>24</v>
      </c>
      <c r="L23" s="16" t="s">
        <v>58</v>
      </c>
      <c r="M23" s="16" t="s">
        <v>127</v>
      </c>
      <c r="N23" s="19" t="s">
        <v>54</v>
      </c>
    </row>
    <row r="24" spans="1:14" ht="15" customHeight="1" x14ac:dyDescent="0.2">
      <c r="A24" s="20" t="s">
        <v>128</v>
      </c>
      <c r="B24" s="21" t="s">
        <v>129</v>
      </c>
      <c r="C24" s="20">
        <v>32</v>
      </c>
      <c r="D24" s="21" t="s">
        <v>76</v>
      </c>
      <c r="E24" s="20">
        <v>6</v>
      </c>
      <c r="F24" s="22">
        <v>105000</v>
      </c>
      <c r="G24" s="22">
        <v>54723</v>
      </c>
      <c r="H24" s="22">
        <v>0</v>
      </c>
      <c r="I24" s="20">
        <v>1707</v>
      </c>
      <c r="J24" s="22">
        <v>1850000</v>
      </c>
      <c r="K24" s="20">
        <v>12</v>
      </c>
      <c r="L24" s="20" t="s">
        <v>85</v>
      </c>
      <c r="M24" s="20" t="s">
        <v>81</v>
      </c>
      <c r="N24" s="23" t="s">
        <v>60</v>
      </c>
    </row>
    <row r="25" spans="1:14" ht="15" customHeight="1" x14ac:dyDescent="0.2">
      <c r="A25" s="16" t="s">
        <v>130</v>
      </c>
      <c r="B25" s="17" t="s">
        <v>131</v>
      </c>
      <c r="C25" s="16">
        <v>24</v>
      </c>
      <c r="D25" s="17" t="s">
        <v>57</v>
      </c>
      <c r="E25" s="16">
        <v>25</v>
      </c>
      <c r="F25" s="18">
        <v>95000</v>
      </c>
      <c r="G25" s="18">
        <v>39095</v>
      </c>
      <c r="H25" s="18">
        <v>250000</v>
      </c>
      <c r="I25" s="16">
        <v>1785</v>
      </c>
      <c r="J25" s="18">
        <v>750000</v>
      </c>
      <c r="K25" s="16">
        <v>120</v>
      </c>
      <c r="L25" s="16" t="s">
        <v>68</v>
      </c>
      <c r="M25" s="16" t="s">
        <v>132</v>
      </c>
      <c r="N25" s="23" t="s">
        <v>60</v>
      </c>
    </row>
    <row r="26" spans="1:14" ht="15" customHeight="1" x14ac:dyDescent="0.2">
      <c r="A26" s="20" t="s">
        <v>133</v>
      </c>
      <c r="B26" s="21" t="s">
        <v>134</v>
      </c>
      <c r="C26" s="20">
        <v>48</v>
      </c>
      <c r="D26" s="21" t="s">
        <v>51</v>
      </c>
      <c r="E26" s="20">
        <v>13</v>
      </c>
      <c r="F26" s="22">
        <v>100000</v>
      </c>
      <c r="G26" s="22">
        <v>69281</v>
      </c>
      <c r="H26" s="22">
        <v>250000</v>
      </c>
      <c r="I26" s="20">
        <v>1384</v>
      </c>
      <c r="J26" s="22">
        <v>1450000</v>
      </c>
      <c r="K26" s="20">
        <v>84</v>
      </c>
      <c r="L26" s="20" t="s">
        <v>104</v>
      </c>
      <c r="M26" s="20" t="s">
        <v>135</v>
      </c>
      <c r="N26" s="19" t="s">
        <v>54</v>
      </c>
    </row>
    <row r="27" spans="1:14" ht="15" customHeight="1" x14ac:dyDescent="0.2">
      <c r="A27" s="16" t="s">
        <v>136</v>
      </c>
      <c r="B27" s="17" t="s">
        <v>137</v>
      </c>
      <c r="C27" s="16">
        <v>55</v>
      </c>
      <c r="D27" s="17" t="s">
        <v>138</v>
      </c>
      <c r="E27" s="16">
        <v>7</v>
      </c>
      <c r="F27" s="18">
        <v>110000</v>
      </c>
      <c r="G27" s="18">
        <v>47360</v>
      </c>
      <c r="H27" s="18">
        <v>0</v>
      </c>
      <c r="I27" s="16">
        <v>924</v>
      </c>
      <c r="J27" s="18">
        <v>1100000</v>
      </c>
      <c r="K27" s="16">
        <v>12</v>
      </c>
      <c r="L27" s="16" t="s">
        <v>85</v>
      </c>
      <c r="M27" s="16" t="s">
        <v>139</v>
      </c>
      <c r="N27" s="19" t="s">
        <v>54</v>
      </c>
    </row>
    <row r="28" spans="1:14" ht="15" customHeight="1" x14ac:dyDescent="0.2">
      <c r="A28" s="20" t="s">
        <v>140</v>
      </c>
      <c r="B28" s="21" t="s">
        <v>141</v>
      </c>
      <c r="C28" s="20">
        <v>56</v>
      </c>
      <c r="D28" s="21" t="s">
        <v>110</v>
      </c>
      <c r="E28" s="20">
        <v>17</v>
      </c>
      <c r="F28" s="22">
        <v>70000</v>
      </c>
      <c r="G28" s="22">
        <v>25973</v>
      </c>
      <c r="H28" s="22">
        <v>0</v>
      </c>
      <c r="I28" s="20">
        <v>1180</v>
      </c>
      <c r="J28" s="22">
        <v>300000</v>
      </c>
      <c r="K28" s="20">
        <v>60</v>
      </c>
      <c r="L28" s="20" t="s">
        <v>85</v>
      </c>
      <c r="M28" s="20" t="s">
        <v>142</v>
      </c>
      <c r="N28" s="19" t="s">
        <v>54</v>
      </c>
    </row>
    <row r="29" spans="1:14" ht="15" customHeight="1" x14ac:dyDescent="0.2">
      <c r="A29" s="16" t="s">
        <v>143</v>
      </c>
      <c r="B29" s="17" t="s">
        <v>144</v>
      </c>
      <c r="C29" s="16">
        <v>49</v>
      </c>
      <c r="D29" s="17" t="s">
        <v>57</v>
      </c>
      <c r="E29" s="16">
        <v>19</v>
      </c>
      <c r="F29" s="18">
        <v>95000</v>
      </c>
      <c r="G29" s="18">
        <v>53599</v>
      </c>
      <c r="H29" s="18">
        <v>0</v>
      </c>
      <c r="I29" s="16">
        <v>967</v>
      </c>
      <c r="J29" s="18">
        <v>1400000</v>
      </c>
      <c r="K29" s="16">
        <v>84</v>
      </c>
      <c r="L29" s="16" t="s">
        <v>52</v>
      </c>
      <c r="M29" s="16" t="s">
        <v>145</v>
      </c>
      <c r="N29" s="19" t="s">
        <v>54</v>
      </c>
    </row>
    <row r="30" spans="1:14" ht="15" customHeight="1" x14ac:dyDescent="0.2">
      <c r="A30" s="20" t="s">
        <v>146</v>
      </c>
      <c r="B30" s="21" t="s">
        <v>147</v>
      </c>
      <c r="C30" s="20">
        <v>44</v>
      </c>
      <c r="D30" s="21" t="s">
        <v>110</v>
      </c>
      <c r="E30" s="20">
        <v>9</v>
      </c>
      <c r="F30" s="22">
        <v>85000</v>
      </c>
      <c r="G30" s="22">
        <v>50812</v>
      </c>
      <c r="H30" s="22">
        <v>150000</v>
      </c>
      <c r="I30" s="20">
        <v>1288</v>
      </c>
      <c r="J30" s="22">
        <v>900000</v>
      </c>
      <c r="K30" s="20">
        <v>48</v>
      </c>
      <c r="L30" s="20" t="s">
        <v>58</v>
      </c>
      <c r="M30" s="20" t="s">
        <v>148</v>
      </c>
      <c r="N30" s="19" t="s">
        <v>54</v>
      </c>
    </row>
    <row r="31" spans="1:14" ht="15" customHeight="1" x14ac:dyDescent="0.2">
      <c r="A31" s="16" t="s">
        <v>149</v>
      </c>
      <c r="B31" s="17" t="s">
        <v>150</v>
      </c>
      <c r="C31" s="16">
        <v>43</v>
      </c>
      <c r="D31" s="17" t="s">
        <v>151</v>
      </c>
      <c r="E31" s="16">
        <v>11</v>
      </c>
      <c r="F31" s="18">
        <v>40000</v>
      </c>
      <c r="G31" s="18">
        <v>14137</v>
      </c>
      <c r="H31" s="18">
        <v>0</v>
      </c>
      <c r="I31" s="16">
        <v>950</v>
      </c>
      <c r="J31" s="18">
        <v>1800000</v>
      </c>
      <c r="K31" s="16">
        <v>24</v>
      </c>
      <c r="L31" s="16" t="s">
        <v>52</v>
      </c>
      <c r="M31" s="16" t="s">
        <v>152</v>
      </c>
      <c r="N31" s="19" t="s">
        <v>54</v>
      </c>
    </row>
    <row r="32" spans="1:14" ht="15" customHeight="1" x14ac:dyDescent="0.2">
      <c r="A32" s="20" t="s">
        <v>153</v>
      </c>
      <c r="B32" s="21" t="s">
        <v>154</v>
      </c>
      <c r="C32" s="20">
        <v>46</v>
      </c>
      <c r="D32" s="21" t="s">
        <v>110</v>
      </c>
      <c r="E32" s="20">
        <v>3</v>
      </c>
      <c r="F32" s="22">
        <v>95000</v>
      </c>
      <c r="G32" s="22">
        <v>46238</v>
      </c>
      <c r="H32" s="22">
        <v>0</v>
      </c>
      <c r="I32" s="20">
        <v>1697</v>
      </c>
      <c r="J32" s="22">
        <v>1800000</v>
      </c>
      <c r="K32" s="20">
        <v>84</v>
      </c>
      <c r="L32" s="20" t="s">
        <v>64</v>
      </c>
      <c r="M32" s="20" t="s">
        <v>155</v>
      </c>
      <c r="N32" s="23" t="s">
        <v>60</v>
      </c>
    </row>
    <row r="33" spans="1:14" ht="15" customHeight="1" x14ac:dyDescent="0.2">
      <c r="A33" s="16" t="s">
        <v>156</v>
      </c>
      <c r="B33" s="17" t="s">
        <v>157</v>
      </c>
      <c r="C33" s="16">
        <v>57</v>
      </c>
      <c r="D33" s="17" t="s">
        <v>51</v>
      </c>
      <c r="E33" s="16">
        <v>22</v>
      </c>
      <c r="F33" s="18">
        <v>195000</v>
      </c>
      <c r="G33" s="18">
        <v>89850</v>
      </c>
      <c r="H33" s="18">
        <v>0</v>
      </c>
      <c r="I33" s="16">
        <v>1075</v>
      </c>
      <c r="J33" s="18">
        <v>900000</v>
      </c>
      <c r="K33" s="16">
        <v>12</v>
      </c>
      <c r="L33" s="16" t="s">
        <v>85</v>
      </c>
      <c r="M33" s="16" t="s">
        <v>90</v>
      </c>
      <c r="N33" s="19" t="s">
        <v>54</v>
      </c>
    </row>
    <row r="34" spans="1:14" ht="15" customHeight="1" x14ac:dyDescent="0.2">
      <c r="A34" s="20" t="s">
        <v>158</v>
      </c>
      <c r="B34" s="21" t="s">
        <v>159</v>
      </c>
      <c r="C34" s="20">
        <v>33</v>
      </c>
      <c r="D34" s="21" t="s">
        <v>93</v>
      </c>
      <c r="E34" s="20">
        <v>10</v>
      </c>
      <c r="F34" s="22">
        <v>85000</v>
      </c>
      <c r="G34" s="22">
        <v>52318</v>
      </c>
      <c r="H34" s="22">
        <v>50000</v>
      </c>
      <c r="I34" s="20">
        <v>1340</v>
      </c>
      <c r="J34" s="22">
        <v>1700000</v>
      </c>
      <c r="K34" s="20">
        <v>48</v>
      </c>
      <c r="L34" s="20" t="s">
        <v>64</v>
      </c>
      <c r="M34" s="20" t="s">
        <v>160</v>
      </c>
      <c r="N34" s="19" t="s">
        <v>54</v>
      </c>
    </row>
    <row r="35" spans="1:14" ht="15" customHeight="1" x14ac:dyDescent="0.2">
      <c r="A35" s="16" t="s">
        <v>161</v>
      </c>
      <c r="B35" s="17" t="s">
        <v>162</v>
      </c>
      <c r="C35" s="16">
        <v>29</v>
      </c>
      <c r="D35" s="17" t="s">
        <v>84</v>
      </c>
      <c r="E35" s="16">
        <v>14</v>
      </c>
      <c r="F35" s="18">
        <v>105000</v>
      </c>
      <c r="G35" s="18">
        <v>38462</v>
      </c>
      <c r="H35" s="18">
        <v>150000</v>
      </c>
      <c r="I35" s="16">
        <v>1067</v>
      </c>
      <c r="J35" s="18">
        <v>900000</v>
      </c>
      <c r="K35" s="16">
        <v>24</v>
      </c>
      <c r="L35" s="16" t="s">
        <v>104</v>
      </c>
      <c r="M35" s="16" t="s">
        <v>59</v>
      </c>
      <c r="N35" s="19" t="s">
        <v>54</v>
      </c>
    </row>
    <row r="36" spans="1:14" ht="15" customHeight="1" x14ac:dyDescent="0.2">
      <c r="A36" s="20" t="s">
        <v>163</v>
      </c>
      <c r="B36" s="21" t="s">
        <v>164</v>
      </c>
      <c r="C36" s="20">
        <v>51</v>
      </c>
      <c r="D36" s="21" t="s">
        <v>99</v>
      </c>
      <c r="E36" s="20">
        <v>1</v>
      </c>
      <c r="F36" s="22">
        <v>55000</v>
      </c>
      <c r="G36" s="22">
        <v>20781</v>
      </c>
      <c r="H36" s="22">
        <v>0</v>
      </c>
      <c r="I36" s="20">
        <v>873</v>
      </c>
      <c r="J36" s="22">
        <v>1250000</v>
      </c>
      <c r="K36" s="20">
        <v>60</v>
      </c>
      <c r="L36" s="20" t="s">
        <v>52</v>
      </c>
      <c r="M36" s="20" t="s">
        <v>165</v>
      </c>
      <c r="N36" s="19" t="s">
        <v>54</v>
      </c>
    </row>
    <row r="37" spans="1:14" ht="15" customHeight="1" x14ac:dyDescent="0.2">
      <c r="A37" s="16" t="s">
        <v>166</v>
      </c>
      <c r="B37" s="17" t="s">
        <v>167</v>
      </c>
      <c r="C37" s="16">
        <v>32</v>
      </c>
      <c r="D37" s="17" t="s">
        <v>51</v>
      </c>
      <c r="E37" s="16">
        <v>10</v>
      </c>
      <c r="F37" s="18">
        <v>135000</v>
      </c>
      <c r="G37" s="18">
        <v>92154</v>
      </c>
      <c r="H37" s="18">
        <v>0</v>
      </c>
      <c r="I37" s="16">
        <v>1532</v>
      </c>
      <c r="J37" s="18">
        <v>750000</v>
      </c>
      <c r="K37" s="16">
        <v>84</v>
      </c>
      <c r="L37" s="16" t="s">
        <v>58</v>
      </c>
      <c r="M37" s="16" t="s">
        <v>142</v>
      </c>
      <c r="N37" s="19" t="s">
        <v>54</v>
      </c>
    </row>
    <row r="38" spans="1:14" ht="15" customHeight="1" x14ac:dyDescent="0.2">
      <c r="A38" s="20" t="s">
        <v>168</v>
      </c>
      <c r="B38" s="21" t="s">
        <v>169</v>
      </c>
      <c r="C38" s="20">
        <v>46</v>
      </c>
      <c r="D38" s="21" t="s">
        <v>63</v>
      </c>
      <c r="E38" s="20">
        <v>18</v>
      </c>
      <c r="F38" s="22">
        <v>150000</v>
      </c>
      <c r="G38" s="22">
        <v>106547</v>
      </c>
      <c r="H38" s="22">
        <v>0</v>
      </c>
      <c r="I38" s="20">
        <v>1284</v>
      </c>
      <c r="J38" s="22">
        <v>600000</v>
      </c>
      <c r="K38" s="20">
        <v>120</v>
      </c>
      <c r="L38" s="20" t="s">
        <v>58</v>
      </c>
      <c r="M38" s="20" t="s">
        <v>53</v>
      </c>
      <c r="N38" s="19" t="s">
        <v>54</v>
      </c>
    </row>
    <row r="39" spans="1:14" ht="15" customHeight="1" x14ac:dyDescent="0.2">
      <c r="A39" s="16" t="s">
        <v>170</v>
      </c>
      <c r="B39" s="17" t="s">
        <v>171</v>
      </c>
      <c r="C39" s="16">
        <v>35</v>
      </c>
      <c r="D39" s="17" t="s">
        <v>103</v>
      </c>
      <c r="E39" s="16">
        <v>11</v>
      </c>
      <c r="F39" s="18">
        <v>150000</v>
      </c>
      <c r="G39" s="18">
        <v>97024</v>
      </c>
      <c r="H39" s="18">
        <v>50000</v>
      </c>
      <c r="I39" s="16">
        <v>1346</v>
      </c>
      <c r="J39" s="18">
        <v>600000</v>
      </c>
      <c r="K39" s="16">
        <v>120</v>
      </c>
      <c r="L39" s="16" t="s">
        <v>104</v>
      </c>
      <c r="M39" s="16" t="s">
        <v>172</v>
      </c>
      <c r="N39" s="19" t="s">
        <v>54</v>
      </c>
    </row>
    <row r="40" spans="1:14" ht="15" customHeight="1" x14ac:dyDescent="0.2">
      <c r="A40" s="20" t="s">
        <v>173</v>
      </c>
      <c r="B40" s="21" t="s">
        <v>174</v>
      </c>
      <c r="C40" s="20">
        <v>26</v>
      </c>
      <c r="D40" s="21" t="s">
        <v>72</v>
      </c>
      <c r="E40" s="20">
        <v>16</v>
      </c>
      <c r="F40" s="22">
        <v>90000</v>
      </c>
      <c r="G40" s="22">
        <v>38145</v>
      </c>
      <c r="H40" s="22">
        <v>250000</v>
      </c>
      <c r="I40" s="20">
        <v>1516</v>
      </c>
      <c r="J40" s="22">
        <v>1050000</v>
      </c>
      <c r="K40" s="20">
        <v>120</v>
      </c>
      <c r="L40" s="20" t="s">
        <v>58</v>
      </c>
      <c r="M40" s="20" t="s">
        <v>175</v>
      </c>
      <c r="N40" s="23" t="s">
        <v>60</v>
      </c>
    </row>
    <row r="41" spans="1:14" ht="15" customHeight="1" x14ac:dyDescent="0.2">
      <c r="A41" s="16" t="s">
        <v>176</v>
      </c>
      <c r="B41" s="17" t="s">
        <v>177</v>
      </c>
      <c r="C41" s="16">
        <v>36</v>
      </c>
      <c r="D41" s="17" t="s">
        <v>76</v>
      </c>
      <c r="E41" s="16">
        <v>11</v>
      </c>
      <c r="F41" s="18">
        <v>105000</v>
      </c>
      <c r="G41" s="18">
        <v>70330</v>
      </c>
      <c r="H41" s="18">
        <v>100000</v>
      </c>
      <c r="I41" s="16">
        <v>1519</v>
      </c>
      <c r="J41" s="18">
        <v>1700000</v>
      </c>
      <c r="K41" s="16">
        <v>48</v>
      </c>
      <c r="L41" s="16" t="s">
        <v>104</v>
      </c>
      <c r="M41" s="16" t="s">
        <v>178</v>
      </c>
      <c r="N41" s="19" t="s">
        <v>54</v>
      </c>
    </row>
    <row r="42" spans="1:14" ht="15" customHeight="1" x14ac:dyDescent="0.2">
      <c r="A42" s="20" t="s">
        <v>179</v>
      </c>
      <c r="B42" s="21" t="s">
        <v>180</v>
      </c>
      <c r="C42" s="20">
        <v>45</v>
      </c>
      <c r="D42" s="21" t="s">
        <v>51</v>
      </c>
      <c r="E42" s="20">
        <v>4</v>
      </c>
      <c r="F42" s="22">
        <v>100000</v>
      </c>
      <c r="G42" s="22">
        <v>41607</v>
      </c>
      <c r="H42" s="22">
        <v>100000</v>
      </c>
      <c r="I42" s="20">
        <v>878</v>
      </c>
      <c r="J42" s="22">
        <v>400000</v>
      </c>
      <c r="K42" s="20">
        <v>60</v>
      </c>
      <c r="L42" s="20" t="s">
        <v>68</v>
      </c>
      <c r="M42" s="20" t="s">
        <v>181</v>
      </c>
      <c r="N42" s="19" t="s">
        <v>54</v>
      </c>
    </row>
    <row r="43" spans="1:14" ht="15" customHeight="1" x14ac:dyDescent="0.2">
      <c r="A43" s="16" t="s">
        <v>182</v>
      </c>
      <c r="B43" s="17" t="s">
        <v>183</v>
      </c>
      <c r="C43" s="16">
        <v>44</v>
      </c>
      <c r="D43" s="17" t="s">
        <v>76</v>
      </c>
      <c r="E43" s="16">
        <v>20</v>
      </c>
      <c r="F43" s="18">
        <v>180000</v>
      </c>
      <c r="G43" s="18">
        <v>70702</v>
      </c>
      <c r="H43" s="18">
        <v>50000</v>
      </c>
      <c r="I43" s="16">
        <v>1321</v>
      </c>
      <c r="J43" s="18">
        <v>200000</v>
      </c>
      <c r="K43" s="16">
        <v>84</v>
      </c>
      <c r="L43" s="16" t="s">
        <v>68</v>
      </c>
      <c r="M43" s="16" t="s">
        <v>184</v>
      </c>
      <c r="N43" s="23" t="s">
        <v>60</v>
      </c>
    </row>
    <row r="44" spans="1:14" ht="15" customHeight="1" x14ac:dyDescent="0.2">
      <c r="A44" s="20" t="s">
        <v>185</v>
      </c>
      <c r="B44" s="21" t="s">
        <v>186</v>
      </c>
      <c r="C44" s="20">
        <v>58</v>
      </c>
      <c r="D44" s="21" t="s">
        <v>84</v>
      </c>
      <c r="E44" s="20">
        <v>24</v>
      </c>
      <c r="F44" s="22">
        <v>80000</v>
      </c>
      <c r="G44" s="22">
        <v>38780</v>
      </c>
      <c r="H44" s="22">
        <v>0</v>
      </c>
      <c r="I44" s="20">
        <v>1476</v>
      </c>
      <c r="J44" s="22">
        <v>1100000</v>
      </c>
      <c r="K44" s="20">
        <v>84</v>
      </c>
      <c r="L44" s="20" t="s">
        <v>85</v>
      </c>
      <c r="M44" s="20" t="s">
        <v>187</v>
      </c>
      <c r="N44" s="23" t="s">
        <v>60</v>
      </c>
    </row>
    <row r="45" spans="1:14" ht="15" customHeight="1" x14ac:dyDescent="0.2">
      <c r="A45" s="16" t="s">
        <v>188</v>
      </c>
      <c r="B45" s="17" t="s">
        <v>189</v>
      </c>
      <c r="C45" s="16">
        <v>56</v>
      </c>
      <c r="D45" s="17" t="s">
        <v>93</v>
      </c>
      <c r="E45" s="16">
        <v>22</v>
      </c>
      <c r="F45" s="18">
        <v>150000</v>
      </c>
      <c r="G45" s="18">
        <v>70603</v>
      </c>
      <c r="H45" s="18">
        <v>100000</v>
      </c>
      <c r="I45" s="16">
        <v>1060</v>
      </c>
      <c r="J45" s="18">
        <v>700000</v>
      </c>
      <c r="K45" s="16">
        <v>48</v>
      </c>
      <c r="L45" s="16" t="s">
        <v>104</v>
      </c>
      <c r="M45" s="16" t="s">
        <v>190</v>
      </c>
      <c r="N45" s="19" t="s">
        <v>54</v>
      </c>
    </row>
    <row r="46" spans="1:14" ht="15" customHeight="1" x14ac:dyDescent="0.2">
      <c r="A46" s="20" t="s">
        <v>191</v>
      </c>
      <c r="B46" s="21" t="s">
        <v>192</v>
      </c>
      <c r="C46" s="20">
        <v>35</v>
      </c>
      <c r="D46" s="21" t="s">
        <v>80</v>
      </c>
      <c r="E46" s="20">
        <v>19</v>
      </c>
      <c r="F46" s="22">
        <v>115000</v>
      </c>
      <c r="G46" s="22">
        <v>57528</v>
      </c>
      <c r="H46" s="22">
        <v>0</v>
      </c>
      <c r="I46" s="20">
        <v>1422</v>
      </c>
      <c r="J46" s="22">
        <v>1000000</v>
      </c>
      <c r="K46" s="20">
        <v>24</v>
      </c>
      <c r="L46" s="20" t="s">
        <v>68</v>
      </c>
      <c r="M46" s="20" t="s">
        <v>135</v>
      </c>
      <c r="N46" s="23" t="s">
        <v>60</v>
      </c>
    </row>
    <row r="47" spans="1:14" ht="15" customHeight="1" x14ac:dyDescent="0.2">
      <c r="A47" s="16" t="s">
        <v>193</v>
      </c>
      <c r="B47" s="17" t="s">
        <v>194</v>
      </c>
      <c r="C47" s="16">
        <v>44</v>
      </c>
      <c r="D47" s="17" t="s">
        <v>151</v>
      </c>
      <c r="E47" s="16">
        <v>15</v>
      </c>
      <c r="F47" s="18">
        <v>160000</v>
      </c>
      <c r="G47" s="18">
        <v>95997</v>
      </c>
      <c r="H47" s="18">
        <v>250000</v>
      </c>
      <c r="I47" s="16">
        <v>1147</v>
      </c>
      <c r="J47" s="18">
        <v>350000</v>
      </c>
      <c r="K47" s="16">
        <v>36</v>
      </c>
      <c r="L47" s="16" t="s">
        <v>52</v>
      </c>
      <c r="M47" s="16" t="s">
        <v>148</v>
      </c>
      <c r="N47" s="19" t="s">
        <v>54</v>
      </c>
    </row>
    <row r="48" spans="1:14" ht="15" customHeight="1" x14ac:dyDescent="0.2">
      <c r="A48" s="20" t="s">
        <v>195</v>
      </c>
      <c r="B48" s="21" t="s">
        <v>196</v>
      </c>
      <c r="C48" s="20">
        <v>45</v>
      </c>
      <c r="D48" s="21" t="s">
        <v>57</v>
      </c>
      <c r="E48" s="20">
        <v>25</v>
      </c>
      <c r="F48" s="22">
        <v>95000</v>
      </c>
      <c r="G48" s="22">
        <v>56898</v>
      </c>
      <c r="H48" s="22">
        <v>50000</v>
      </c>
      <c r="I48" s="20">
        <v>1207</v>
      </c>
      <c r="J48" s="22">
        <v>550000</v>
      </c>
      <c r="K48" s="20">
        <v>12</v>
      </c>
      <c r="L48" s="20" t="s">
        <v>85</v>
      </c>
      <c r="M48" s="20" t="s">
        <v>197</v>
      </c>
      <c r="N48" s="19" t="s">
        <v>54</v>
      </c>
    </row>
    <row r="49" spans="1:14" ht="15" customHeight="1" x14ac:dyDescent="0.2">
      <c r="A49" s="16" t="s">
        <v>198</v>
      </c>
      <c r="B49" s="17" t="s">
        <v>199</v>
      </c>
      <c r="C49" s="16">
        <v>28</v>
      </c>
      <c r="D49" s="17" t="s">
        <v>151</v>
      </c>
      <c r="E49" s="16">
        <v>14</v>
      </c>
      <c r="F49" s="18">
        <v>80000</v>
      </c>
      <c r="G49" s="18">
        <v>49263</v>
      </c>
      <c r="H49" s="18">
        <v>200000</v>
      </c>
      <c r="I49" s="16">
        <v>1812</v>
      </c>
      <c r="J49" s="18">
        <v>1350000</v>
      </c>
      <c r="K49" s="16">
        <v>24</v>
      </c>
      <c r="L49" s="16" t="s">
        <v>58</v>
      </c>
      <c r="M49" s="16" t="s">
        <v>81</v>
      </c>
      <c r="N49" s="19" t="s">
        <v>54</v>
      </c>
    </row>
    <row r="50" spans="1:14" ht="15" customHeight="1" x14ac:dyDescent="0.2">
      <c r="A50" s="20" t="s">
        <v>200</v>
      </c>
      <c r="B50" s="21" t="s">
        <v>201</v>
      </c>
      <c r="C50" s="20">
        <v>24</v>
      </c>
      <c r="D50" s="21" t="s">
        <v>110</v>
      </c>
      <c r="E50" s="20">
        <v>25</v>
      </c>
      <c r="F50" s="22">
        <v>50000</v>
      </c>
      <c r="G50" s="22">
        <v>31900</v>
      </c>
      <c r="H50" s="22">
        <v>50000</v>
      </c>
      <c r="I50" s="20">
        <v>1160</v>
      </c>
      <c r="J50" s="22">
        <v>1750000</v>
      </c>
      <c r="K50" s="20">
        <v>48</v>
      </c>
      <c r="L50" s="20" t="s">
        <v>85</v>
      </c>
      <c r="M50" s="20" t="s">
        <v>202</v>
      </c>
      <c r="N50" s="19" t="s">
        <v>54</v>
      </c>
    </row>
    <row r="51" spans="1:14" ht="15" customHeight="1" x14ac:dyDescent="0.2">
      <c r="A51" s="16" t="s">
        <v>203</v>
      </c>
      <c r="B51" s="17" t="s">
        <v>204</v>
      </c>
      <c r="C51" s="16">
        <v>31</v>
      </c>
      <c r="D51" s="17" t="s">
        <v>151</v>
      </c>
      <c r="E51" s="16">
        <v>5</v>
      </c>
      <c r="F51" s="18">
        <v>165000</v>
      </c>
      <c r="G51" s="18">
        <v>98505</v>
      </c>
      <c r="H51" s="18">
        <v>150000</v>
      </c>
      <c r="I51" s="16">
        <v>1706</v>
      </c>
      <c r="J51" s="18">
        <v>1700000</v>
      </c>
      <c r="K51" s="16">
        <v>48</v>
      </c>
      <c r="L51" s="16" t="s">
        <v>52</v>
      </c>
      <c r="M51" s="16" t="s">
        <v>205</v>
      </c>
      <c r="N51" s="19" t="s">
        <v>54</v>
      </c>
    </row>
    <row r="52" spans="1:14" ht="15" customHeight="1" x14ac:dyDescent="0.2">
      <c r="A52" s="20" t="s">
        <v>206</v>
      </c>
      <c r="B52" s="21" t="s">
        <v>207</v>
      </c>
      <c r="C52" s="20">
        <v>54</v>
      </c>
      <c r="D52" s="21" t="s">
        <v>151</v>
      </c>
      <c r="E52" s="20">
        <v>9</v>
      </c>
      <c r="F52" s="22">
        <v>95000</v>
      </c>
      <c r="G52" s="22">
        <v>62771</v>
      </c>
      <c r="H52" s="22">
        <v>100000</v>
      </c>
      <c r="I52" s="20">
        <v>1867</v>
      </c>
      <c r="J52" s="22">
        <v>1650000</v>
      </c>
      <c r="K52" s="20">
        <v>84</v>
      </c>
      <c r="L52" s="20" t="s">
        <v>58</v>
      </c>
      <c r="M52" s="20" t="s">
        <v>208</v>
      </c>
      <c r="N52" s="19" t="s">
        <v>54</v>
      </c>
    </row>
    <row r="53" spans="1:14" ht="21.75" customHeight="1" x14ac:dyDescent="0.2">
      <c r="A53" s="15" t="s">
        <v>209</v>
      </c>
      <c r="B53" s="25">
        <f>COUNTIF(N3:N52,"Onaylandı")</f>
        <v>1</v>
      </c>
      <c r="C53" s="26">
        <f>COUNTIF(N3:N52,"Koşullu Onay")</f>
        <v>11</v>
      </c>
      <c r="D53" s="27">
        <f>COUNTIF(N3:N52,"Reddedildi")</f>
        <v>38</v>
      </c>
      <c r="E53" s="28">
        <f>IFERROR(AVERAGE(F3:F52),0)</f>
        <v>103100</v>
      </c>
      <c r="F53" s="29">
        <f>IFERROR(AVERAGE(I3:I52),0)</f>
        <v>1327.96</v>
      </c>
      <c r="G53" s="30">
        <f>IFERROR(AVERAGE(J3:J52),0)</f>
        <v>1076000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"/>
  <sheetViews>
    <sheetView zoomScaleNormal="100" workbookViewId="0">
      <pane ySplit="2" topLeftCell="A3" activePane="bottomLeft" state="frozen"/>
      <selection pane="bottomLeft" sqref="A1:K1"/>
    </sheetView>
  </sheetViews>
  <sheetFormatPr baseColWidth="10" defaultColWidth="8.6640625" defaultRowHeight="15" x14ac:dyDescent="0.2"/>
  <cols>
    <col min="1" max="1" width="16" customWidth="1"/>
    <col min="2" max="2" width="12" customWidth="1"/>
    <col min="3" max="3" width="16" customWidth="1"/>
    <col min="4" max="4" width="52" customWidth="1"/>
    <col min="5" max="5" width="22" customWidth="1"/>
    <col min="6" max="6" width="10" customWidth="1"/>
    <col min="7" max="7" width="12" customWidth="1"/>
    <col min="8" max="8" width="11" customWidth="1"/>
    <col min="9" max="10" width="10" customWidth="1"/>
    <col min="11" max="11" width="16" customWidth="1"/>
  </cols>
  <sheetData>
    <row r="1" spans="1:11" ht="25.5" customHeight="1" x14ac:dyDescent="0.2">
      <c r="A1" s="4" t="s">
        <v>210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9.75" customHeight="1" x14ac:dyDescent="0.2">
      <c r="A2" s="31" t="s">
        <v>211</v>
      </c>
      <c r="B2" s="31" t="s">
        <v>212</v>
      </c>
      <c r="C2" s="31" t="s">
        <v>213</v>
      </c>
      <c r="D2" s="31" t="s">
        <v>214</v>
      </c>
      <c r="E2" s="31" t="s">
        <v>215</v>
      </c>
      <c r="F2" s="31" t="s">
        <v>216</v>
      </c>
      <c r="G2" s="31" t="s">
        <v>217</v>
      </c>
      <c r="H2" s="31" t="s">
        <v>218</v>
      </c>
      <c r="I2" s="31" t="s">
        <v>219</v>
      </c>
      <c r="J2" s="31" t="s">
        <v>220</v>
      </c>
      <c r="K2" s="31" t="s">
        <v>221</v>
      </c>
    </row>
    <row r="3" spans="1:11" ht="37.5" customHeight="1" x14ac:dyDescent="0.2">
      <c r="A3" s="16" t="s">
        <v>222</v>
      </c>
      <c r="B3" s="16" t="s">
        <v>223</v>
      </c>
      <c r="C3" s="16" t="s">
        <v>224</v>
      </c>
      <c r="D3" s="17" t="s">
        <v>225</v>
      </c>
      <c r="E3" s="17" t="s">
        <v>226</v>
      </c>
      <c r="F3" s="19" t="s">
        <v>227</v>
      </c>
      <c r="G3" s="16" t="s">
        <v>228</v>
      </c>
      <c r="H3" s="16">
        <v>2</v>
      </c>
      <c r="I3" s="16" t="s">
        <v>229</v>
      </c>
      <c r="J3" s="16">
        <v>5</v>
      </c>
      <c r="K3" s="17" t="s">
        <v>230</v>
      </c>
    </row>
    <row r="4" spans="1:11" ht="37.5" customHeight="1" x14ac:dyDescent="0.2">
      <c r="A4" s="20" t="s">
        <v>231</v>
      </c>
      <c r="B4" s="20" t="s">
        <v>118</v>
      </c>
      <c r="C4" s="20" t="s">
        <v>232</v>
      </c>
      <c r="D4" s="21" t="s">
        <v>233</v>
      </c>
      <c r="E4" s="21" t="s">
        <v>226</v>
      </c>
      <c r="F4" s="32" t="s">
        <v>234</v>
      </c>
      <c r="G4" s="20" t="s">
        <v>228</v>
      </c>
      <c r="H4" s="20">
        <v>4</v>
      </c>
      <c r="I4" s="20" t="s">
        <v>229</v>
      </c>
      <c r="J4" s="20">
        <v>4</v>
      </c>
      <c r="K4" s="21" t="s">
        <v>235</v>
      </c>
    </row>
    <row r="5" spans="1:11" ht="37.5" customHeight="1" x14ac:dyDescent="0.2">
      <c r="A5" s="16" t="s">
        <v>236</v>
      </c>
      <c r="B5" s="16" t="s">
        <v>178</v>
      </c>
      <c r="C5" s="16" t="s">
        <v>232</v>
      </c>
      <c r="D5" s="17" t="s">
        <v>237</v>
      </c>
      <c r="E5" s="17" t="s">
        <v>238</v>
      </c>
      <c r="F5" s="33" t="s">
        <v>239</v>
      </c>
      <c r="G5" s="16" t="s">
        <v>228</v>
      </c>
      <c r="H5" s="16">
        <v>1</v>
      </c>
      <c r="I5" s="16" t="s">
        <v>229</v>
      </c>
      <c r="J5" s="16">
        <v>5</v>
      </c>
      <c r="K5" s="17" t="s">
        <v>240</v>
      </c>
    </row>
    <row r="6" spans="1:11" ht="37.5" customHeight="1" x14ac:dyDescent="0.2">
      <c r="A6" s="20" t="s">
        <v>241</v>
      </c>
      <c r="B6" s="20" t="s">
        <v>181</v>
      </c>
      <c r="C6" s="20" t="s">
        <v>232</v>
      </c>
      <c r="D6" s="21" t="s">
        <v>242</v>
      </c>
      <c r="E6" s="21" t="s">
        <v>243</v>
      </c>
      <c r="F6" s="19" t="s">
        <v>227</v>
      </c>
      <c r="G6" s="20" t="s">
        <v>228</v>
      </c>
      <c r="H6" s="20">
        <v>3</v>
      </c>
      <c r="I6" s="20" t="s">
        <v>244</v>
      </c>
      <c r="J6" s="20">
        <v>3</v>
      </c>
      <c r="K6" s="21" t="s">
        <v>245</v>
      </c>
    </row>
    <row r="7" spans="1:11" ht="37.5" customHeight="1" x14ac:dyDescent="0.2">
      <c r="A7" s="16" t="s">
        <v>246</v>
      </c>
      <c r="B7" s="16" t="s">
        <v>247</v>
      </c>
      <c r="C7" s="16" t="s">
        <v>232</v>
      </c>
      <c r="D7" s="17" t="s">
        <v>248</v>
      </c>
      <c r="E7" s="17" t="s">
        <v>249</v>
      </c>
      <c r="F7" s="32" t="s">
        <v>234</v>
      </c>
      <c r="G7" s="16" t="s">
        <v>250</v>
      </c>
      <c r="H7" s="16">
        <v>6</v>
      </c>
      <c r="I7" s="16" t="s">
        <v>229</v>
      </c>
      <c r="J7" s="16">
        <v>3</v>
      </c>
      <c r="K7" s="17" t="s">
        <v>230</v>
      </c>
    </row>
    <row r="8" spans="1:11" ht="37.5" customHeight="1" x14ac:dyDescent="0.2">
      <c r="A8" s="20" t="s">
        <v>251</v>
      </c>
      <c r="B8" s="20" t="s">
        <v>252</v>
      </c>
      <c r="C8" s="20" t="s">
        <v>224</v>
      </c>
      <c r="D8" s="21" t="s">
        <v>253</v>
      </c>
      <c r="E8" s="21" t="s">
        <v>254</v>
      </c>
      <c r="F8" s="32" t="s">
        <v>234</v>
      </c>
      <c r="G8" s="20" t="s">
        <v>228</v>
      </c>
      <c r="H8" s="20">
        <v>5</v>
      </c>
      <c r="I8" s="20" t="s">
        <v>229</v>
      </c>
      <c r="J8" s="20">
        <v>4</v>
      </c>
      <c r="K8" s="21" t="s">
        <v>255</v>
      </c>
    </row>
    <row r="9" spans="1:11" ht="37.5" customHeight="1" x14ac:dyDescent="0.2">
      <c r="A9" s="16" t="s">
        <v>256</v>
      </c>
      <c r="B9" s="16" t="s">
        <v>73</v>
      </c>
      <c r="C9" s="16" t="s">
        <v>232</v>
      </c>
      <c r="D9" s="17" t="s">
        <v>257</v>
      </c>
      <c r="E9" s="17" t="s">
        <v>258</v>
      </c>
      <c r="F9" s="34" t="s">
        <v>259</v>
      </c>
      <c r="G9" s="16" t="s">
        <v>228</v>
      </c>
      <c r="H9" s="16">
        <v>24</v>
      </c>
      <c r="I9" s="16" t="s">
        <v>260</v>
      </c>
      <c r="J9" s="16">
        <v>2</v>
      </c>
      <c r="K9" s="17" t="s">
        <v>261</v>
      </c>
    </row>
    <row r="10" spans="1:11" ht="37.5" customHeight="1" x14ac:dyDescent="0.2">
      <c r="A10" s="20" t="s">
        <v>262</v>
      </c>
      <c r="B10" s="20" t="s">
        <v>127</v>
      </c>
      <c r="C10" s="20" t="s">
        <v>232</v>
      </c>
      <c r="D10" s="21" t="s">
        <v>263</v>
      </c>
      <c r="E10" s="21" t="s">
        <v>264</v>
      </c>
      <c r="F10" s="35" t="s">
        <v>259</v>
      </c>
      <c r="G10" s="20" t="s">
        <v>228</v>
      </c>
      <c r="H10" s="20">
        <v>1</v>
      </c>
      <c r="I10" s="20" t="s">
        <v>229</v>
      </c>
      <c r="J10" s="20">
        <v>5</v>
      </c>
      <c r="K10" s="21" t="s">
        <v>240</v>
      </c>
    </row>
    <row r="11" spans="1:11" ht="37.5" customHeight="1" x14ac:dyDescent="0.2">
      <c r="A11" s="16" t="s">
        <v>265</v>
      </c>
      <c r="B11" s="16" t="s">
        <v>178</v>
      </c>
      <c r="C11" s="16" t="s">
        <v>232</v>
      </c>
      <c r="D11" s="17" t="s">
        <v>266</v>
      </c>
      <c r="E11" s="17" t="s">
        <v>267</v>
      </c>
      <c r="F11" s="32" t="s">
        <v>234</v>
      </c>
      <c r="G11" s="16" t="s">
        <v>228</v>
      </c>
      <c r="H11" s="16">
        <v>48</v>
      </c>
      <c r="I11" s="16" t="s">
        <v>244</v>
      </c>
      <c r="J11" s="16">
        <v>2</v>
      </c>
      <c r="K11" s="17" t="s">
        <v>268</v>
      </c>
    </row>
    <row r="12" spans="1:11" ht="37.5" customHeight="1" x14ac:dyDescent="0.2">
      <c r="A12" s="20" t="s">
        <v>269</v>
      </c>
      <c r="B12" s="20" t="s">
        <v>270</v>
      </c>
      <c r="C12" s="20" t="s">
        <v>271</v>
      </c>
      <c r="D12" s="21" t="s">
        <v>272</v>
      </c>
      <c r="E12" s="21" t="s">
        <v>273</v>
      </c>
      <c r="F12" s="33" t="s">
        <v>239</v>
      </c>
      <c r="G12" s="20" t="s">
        <v>228</v>
      </c>
      <c r="H12" s="20">
        <v>8</v>
      </c>
      <c r="I12" s="20" t="s">
        <v>229</v>
      </c>
      <c r="J12" s="20">
        <v>4</v>
      </c>
      <c r="K12" s="21" t="s">
        <v>230</v>
      </c>
    </row>
    <row r="13" spans="1:11" ht="37.5" customHeight="1" x14ac:dyDescent="0.2">
      <c r="A13" s="16" t="s">
        <v>274</v>
      </c>
      <c r="B13" s="16" t="s">
        <v>275</v>
      </c>
      <c r="C13" s="16" t="s">
        <v>276</v>
      </c>
      <c r="D13" s="17" t="s">
        <v>277</v>
      </c>
      <c r="E13" s="17" t="s">
        <v>278</v>
      </c>
      <c r="F13" s="32" t="s">
        <v>234</v>
      </c>
      <c r="G13" s="16" t="s">
        <v>228</v>
      </c>
      <c r="H13" s="16">
        <v>4</v>
      </c>
      <c r="I13" s="16" t="s">
        <v>229</v>
      </c>
      <c r="J13" s="16">
        <v>4</v>
      </c>
      <c r="K13" s="17" t="s">
        <v>230</v>
      </c>
    </row>
    <row r="14" spans="1:11" ht="37.5" customHeight="1" x14ac:dyDescent="0.2">
      <c r="A14" s="20" t="s">
        <v>279</v>
      </c>
      <c r="B14" s="20" t="s">
        <v>139</v>
      </c>
      <c r="C14" s="20" t="s">
        <v>232</v>
      </c>
      <c r="D14" s="21" t="s">
        <v>280</v>
      </c>
      <c r="E14" s="21" t="s">
        <v>281</v>
      </c>
      <c r="F14" s="35" t="s">
        <v>259</v>
      </c>
      <c r="G14" s="20" t="s">
        <v>228</v>
      </c>
      <c r="H14" s="20">
        <v>12</v>
      </c>
      <c r="I14" s="20" t="s">
        <v>229</v>
      </c>
      <c r="J14" s="20">
        <v>3</v>
      </c>
      <c r="K14" s="21" t="s">
        <v>255</v>
      </c>
    </row>
    <row r="15" spans="1:11" ht="37.5" customHeight="1" x14ac:dyDescent="0.2">
      <c r="A15" s="16" t="s">
        <v>282</v>
      </c>
      <c r="B15" s="16" t="s">
        <v>175</v>
      </c>
      <c r="C15" s="16" t="s">
        <v>276</v>
      </c>
      <c r="D15" s="17" t="s">
        <v>283</v>
      </c>
      <c r="E15" s="17" t="s">
        <v>258</v>
      </c>
      <c r="F15" s="33" t="s">
        <v>239</v>
      </c>
      <c r="G15" s="16" t="s">
        <v>228</v>
      </c>
      <c r="H15" s="16">
        <v>72</v>
      </c>
      <c r="I15" s="16" t="s">
        <v>260</v>
      </c>
      <c r="J15" s="16">
        <v>2</v>
      </c>
      <c r="K15" s="17" t="s">
        <v>284</v>
      </c>
    </row>
    <row r="16" spans="1:11" ht="37.5" customHeight="1" x14ac:dyDescent="0.2">
      <c r="A16" s="20" t="s">
        <v>285</v>
      </c>
      <c r="B16" s="20" t="s">
        <v>160</v>
      </c>
      <c r="C16" s="20" t="s">
        <v>286</v>
      </c>
      <c r="D16" s="21" t="s">
        <v>287</v>
      </c>
      <c r="E16" s="21" t="s">
        <v>288</v>
      </c>
      <c r="F16" s="32" t="s">
        <v>234</v>
      </c>
      <c r="G16" s="20" t="s">
        <v>228</v>
      </c>
      <c r="H16" s="20">
        <v>6</v>
      </c>
      <c r="I16" s="20" t="s">
        <v>229</v>
      </c>
      <c r="J16" s="20">
        <v>3</v>
      </c>
      <c r="K16" s="21" t="s">
        <v>230</v>
      </c>
    </row>
    <row r="17" spans="1:11" ht="37.5" customHeight="1" x14ac:dyDescent="0.2">
      <c r="A17" s="16" t="s">
        <v>289</v>
      </c>
      <c r="B17" s="16" t="s">
        <v>53</v>
      </c>
      <c r="C17" s="16" t="s">
        <v>276</v>
      </c>
      <c r="D17" s="17" t="s">
        <v>290</v>
      </c>
      <c r="E17" s="17" t="s">
        <v>273</v>
      </c>
      <c r="F17" s="34" t="s">
        <v>259</v>
      </c>
      <c r="G17" s="16" t="s">
        <v>291</v>
      </c>
      <c r="H17" s="16">
        <v>10</v>
      </c>
      <c r="I17" s="16" t="s">
        <v>244</v>
      </c>
      <c r="J17" s="16">
        <v>2</v>
      </c>
      <c r="K17" s="17" t="s">
        <v>292</v>
      </c>
    </row>
    <row r="18" spans="1:11" ht="37.5" customHeight="1" x14ac:dyDescent="0.2">
      <c r="A18" s="20" t="s">
        <v>293</v>
      </c>
      <c r="B18" s="20" t="s">
        <v>294</v>
      </c>
      <c r="C18" s="20" t="s">
        <v>286</v>
      </c>
      <c r="D18" s="21" t="s">
        <v>295</v>
      </c>
      <c r="E18" s="21" t="s">
        <v>238</v>
      </c>
      <c r="F18" s="33" t="s">
        <v>239</v>
      </c>
      <c r="G18" s="20" t="s">
        <v>228</v>
      </c>
      <c r="H18" s="20">
        <v>1</v>
      </c>
      <c r="I18" s="20" t="s">
        <v>229</v>
      </c>
      <c r="J18" s="20">
        <v>5</v>
      </c>
      <c r="K18" s="21" t="s">
        <v>240</v>
      </c>
    </row>
    <row r="19" spans="1:11" ht="37.5" customHeight="1" x14ac:dyDescent="0.2">
      <c r="A19" s="16" t="s">
        <v>296</v>
      </c>
      <c r="B19" s="16" t="s">
        <v>297</v>
      </c>
      <c r="C19" s="16" t="s">
        <v>298</v>
      </c>
      <c r="D19" s="17" t="s">
        <v>299</v>
      </c>
      <c r="E19" s="17" t="s">
        <v>300</v>
      </c>
      <c r="F19" s="32" t="s">
        <v>234</v>
      </c>
      <c r="G19" s="16" t="s">
        <v>228</v>
      </c>
      <c r="H19" s="16">
        <v>8</v>
      </c>
      <c r="I19" s="16" t="s">
        <v>229</v>
      </c>
      <c r="J19" s="16">
        <v>3</v>
      </c>
      <c r="K19" s="17" t="s">
        <v>230</v>
      </c>
    </row>
    <row r="20" spans="1:11" ht="37.5" customHeight="1" x14ac:dyDescent="0.2">
      <c r="A20" s="20" t="s">
        <v>301</v>
      </c>
      <c r="B20" s="20" t="s">
        <v>294</v>
      </c>
      <c r="C20" s="20" t="s">
        <v>276</v>
      </c>
      <c r="D20" s="21" t="s">
        <v>302</v>
      </c>
      <c r="E20" s="21" t="s">
        <v>303</v>
      </c>
      <c r="F20" s="35" t="s">
        <v>259</v>
      </c>
      <c r="G20" s="20" t="s">
        <v>228</v>
      </c>
      <c r="H20" s="20">
        <v>168</v>
      </c>
      <c r="I20" s="20" t="s">
        <v>260</v>
      </c>
      <c r="J20" s="20">
        <v>2</v>
      </c>
      <c r="K20" s="21" t="s">
        <v>304</v>
      </c>
    </row>
    <row r="21" spans="1:11" ht="37.5" customHeight="1" x14ac:dyDescent="0.2">
      <c r="A21" s="16" t="s">
        <v>305</v>
      </c>
      <c r="B21" s="16" t="s">
        <v>118</v>
      </c>
      <c r="C21" s="16" t="s">
        <v>286</v>
      </c>
      <c r="D21" s="17" t="s">
        <v>306</v>
      </c>
      <c r="E21" s="17" t="s">
        <v>245</v>
      </c>
      <c r="F21" s="19" t="s">
        <v>227</v>
      </c>
      <c r="G21" s="16" t="s">
        <v>250</v>
      </c>
      <c r="H21" s="16">
        <v>1</v>
      </c>
      <c r="I21" s="16" t="s">
        <v>229</v>
      </c>
      <c r="J21" s="16">
        <v>5</v>
      </c>
      <c r="K21" s="17" t="s">
        <v>245</v>
      </c>
    </row>
    <row r="22" spans="1:11" ht="37.5" customHeight="1" x14ac:dyDescent="0.2">
      <c r="A22" s="20" t="s">
        <v>307</v>
      </c>
      <c r="B22" s="20" t="s">
        <v>294</v>
      </c>
      <c r="C22" s="20" t="s">
        <v>271</v>
      </c>
      <c r="D22" s="21" t="s">
        <v>308</v>
      </c>
      <c r="E22" s="21" t="s">
        <v>249</v>
      </c>
      <c r="F22" s="32" t="s">
        <v>234</v>
      </c>
      <c r="G22" s="20" t="s">
        <v>250</v>
      </c>
      <c r="H22" s="20">
        <v>12</v>
      </c>
      <c r="I22" s="20" t="s">
        <v>244</v>
      </c>
      <c r="J22" s="20">
        <v>3</v>
      </c>
      <c r="K22" s="21" t="s">
        <v>230</v>
      </c>
    </row>
    <row r="23" spans="1:11" ht="37.5" customHeight="1" x14ac:dyDescent="0.2">
      <c r="A23" s="16" t="s">
        <v>309</v>
      </c>
      <c r="B23" s="16" t="s">
        <v>69</v>
      </c>
      <c r="C23" s="16" t="s">
        <v>232</v>
      </c>
      <c r="D23" s="17" t="s">
        <v>310</v>
      </c>
      <c r="E23" s="17" t="s">
        <v>238</v>
      </c>
      <c r="F23" s="33" t="s">
        <v>239</v>
      </c>
      <c r="G23" s="16" t="s">
        <v>228</v>
      </c>
      <c r="H23" s="16">
        <v>1</v>
      </c>
      <c r="I23" s="16" t="s">
        <v>229</v>
      </c>
      <c r="J23" s="16">
        <v>5</v>
      </c>
      <c r="K23" s="17" t="s">
        <v>240</v>
      </c>
    </row>
    <row r="24" spans="1:11" ht="37.5" customHeight="1" x14ac:dyDescent="0.2">
      <c r="A24" s="20" t="s">
        <v>311</v>
      </c>
      <c r="B24" s="20" t="s">
        <v>312</v>
      </c>
      <c r="C24" s="20" t="s">
        <v>224</v>
      </c>
      <c r="D24" s="21" t="s">
        <v>313</v>
      </c>
      <c r="E24" s="21" t="s">
        <v>273</v>
      </c>
      <c r="F24" s="35" t="s">
        <v>259</v>
      </c>
      <c r="G24" s="20" t="s">
        <v>228</v>
      </c>
      <c r="H24" s="20">
        <v>6</v>
      </c>
      <c r="I24" s="20" t="s">
        <v>229</v>
      </c>
      <c r="J24" s="20">
        <v>4</v>
      </c>
      <c r="K24" s="21" t="s">
        <v>255</v>
      </c>
    </row>
    <row r="25" spans="1:11" ht="37.5" customHeight="1" x14ac:dyDescent="0.2">
      <c r="A25" s="16" t="s">
        <v>314</v>
      </c>
      <c r="B25" s="16" t="s">
        <v>148</v>
      </c>
      <c r="C25" s="16" t="s">
        <v>224</v>
      </c>
      <c r="D25" s="17" t="s">
        <v>315</v>
      </c>
      <c r="E25" s="17" t="s">
        <v>226</v>
      </c>
      <c r="F25" s="34" t="s">
        <v>259</v>
      </c>
      <c r="G25" s="16" t="s">
        <v>228</v>
      </c>
      <c r="H25" s="16">
        <v>2</v>
      </c>
      <c r="I25" s="16" t="s">
        <v>229</v>
      </c>
      <c r="J25" s="16">
        <v>4</v>
      </c>
      <c r="K25" s="17" t="s">
        <v>235</v>
      </c>
    </row>
    <row r="26" spans="1:11" ht="37.5" customHeight="1" x14ac:dyDescent="0.2">
      <c r="A26" s="20" t="s">
        <v>316</v>
      </c>
      <c r="B26" s="20" t="s">
        <v>317</v>
      </c>
      <c r="C26" s="20" t="s">
        <v>224</v>
      </c>
      <c r="D26" s="21" t="s">
        <v>318</v>
      </c>
      <c r="E26" s="21" t="s">
        <v>319</v>
      </c>
      <c r="F26" s="33" t="s">
        <v>239</v>
      </c>
      <c r="G26" s="20" t="s">
        <v>228</v>
      </c>
      <c r="H26" s="20">
        <v>24</v>
      </c>
      <c r="I26" s="20" t="s">
        <v>229</v>
      </c>
      <c r="J26" s="20">
        <v>3</v>
      </c>
      <c r="K26" s="21" t="s">
        <v>320</v>
      </c>
    </row>
    <row r="27" spans="1:11" ht="37.5" customHeight="1" x14ac:dyDescent="0.2">
      <c r="A27" s="16" t="s">
        <v>321</v>
      </c>
      <c r="B27" s="16" t="s">
        <v>139</v>
      </c>
      <c r="C27" s="16" t="s">
        <v>286</v>
      </c>
      <c r="D27" s="17" t="s">
        <v>322</v>
      </c>
      <c r="E27" s="17" t="s">
        <v>238</v>
      </c>
      <c r="F27" s="33" t="s">
        <v>239</v>
      </c>
      <c r="G27" s="16" t="s">
        <v>228</v>
      </c>
      <c r="H27" s="16">
        <v>4</v>
      </c>
      <c r="I27" s="16" t="s">
        <v>229</v>
      </c>
      <c r="J27" s="16">
        <v>5</v>
      </c>
      <c r="K27" s="17" t="s">
        <v>268</v>
      </c>
    </row>
    <row r="28" spans="1:11" ht="37.5" customHeight="1" x14ac:dyDescent="0.2">
      <c r="A28" s="20" t="s">
        <v>323</v>
      </c>
      <c r="B28" s="20" t="s">
        <v>324</v>
      </c>
      <c r="C28" s="20" t="s">
        <v>298</v>
      </c>
      <c r="D28" s="21" t="s">
        <v>325</v>
      </c>
      <c r="E28" s="21" t="s">
        <v>226</v>
      </c>
      <c r="F28" s="19" t="s">
        <v>227</v>
      </c>
      <c r="G28" s="20" t="s">
        <v>228</v>
      </c>
      <c r="H28" s="20">
        <v>1</v>
      </c>
      <c r="I28" s="20" t="s">
        <v>229</v>
      </c>
      <c r="J28" s="20">
        <v>5</v>
      </c>
      <c r="K28" s="21" t="s">
        <v>235</v>
      </c>
    </row>
    <row r="29" spans="1:11" ht="37.5" customHeight="1" x14ac:dyDescent="0.2">
      <c r="A29" s="16" t="s">
        <v>326</v>
      </c>
      <c r="B29" s="16" t="s">
        <v>327</v>
      </c>
      <c r="C29" s="16" t="s">
        <v>232</v>
      </c>
      <c r="D29" s="17" t="s">
        <v>328</v>
      </c>
      <c r="E29" s="17" t="s">
        <v>258</v>
      </c>
      <c r="F29" s="34" t="s">
        <v>259</v>
      </c>
      <c r="G29" s="16" t="s">
        <v>228</v>
      </c>
      <c r="H29" s="16">
        <v>48</v>
      </c>
      <c r="I29" s="16" t="s">
        <v>260</v>
      </c>
      <c r="J29" s="16">
        <v>1</v>
      </c>
      <c r="K29" s="17" t="s">
        <v>329</v>
      </c>
    </row>
    <row r="30" spans="1:11" ht="37.5" customHeight="1" x14ac:dyDescent="0.2">
      <c r="A30" s="20" t="s">
        <v>330</v>
      </c>
      <c r="B30" s="20" t="s">
        <v>139</v>
      </c>
      <c r="C30" s="20" t="s">
        <v>276</v>
      </c>
      <c r="D30" s="21" t="s">
        <v>331</v>
      </c>
      <c r="E30" s="21" t="s">
        <v>332</v>
      </c>
      <c r="F30" s="33" t="s">
        <v>239</v>
      </c>
      <c r="G30" s="20" t="s">
        <v>228</v>
      </c>
      <c r="H30" s="20">
        <v>24</v>
      </c>
      <c r="I30" s="20" t="s">
        <v>229</v>
      </c>
      <c r="J30" s="20">
        <v>3</v>
      </c>
      <c r="K30" s="21" t="s">
        <v>333</v>
      </c>
    </row>
    <row r="31" spans="1:11" ht="37.5" customHeight="1" x14ac:dyDescent="0.2">
      <c r="A31" s="16" t="s">
        <v>334</v>
      </c>
      <c r="B31" s="16" t="s">
        <v>335</v>
      </c>
      <c r="C31" s="16" t="s">
        <v>271</v>
      </c>
      <c r="D31" s="17" t="s">
        <v>336</v>
      </c>
      <c r="E31" s="17" t="s">
        <v>337</v>
      </c>
      <c r="F31" s="34" t="s">
        <v>259</v>
      </c>
      <c r="G31" s="16" t="s">
        <v>228</v>
      </c>
      <c r="H31" s="16">
        <v>8</v>
      </c>
      <c r="I31" s="16" t="s">
        <v>229</v>
      </c>
      <c r="J31" s="16">
        <v>4</v>
      </c>
      <c r="K31" s="17" t="s">
        <v>240</v>
      </c>
    </row>
    <row r="32" spans="1:11" ht="37.5" customHeight="1" x14ac:dyDescent="0.2">
      <c r="A32" s="20" t="s">
        <v>338</v>
      </c>
      <c r="B32" s="20" t="s">
        <v>339</v>
      </c>
      <c r="C32" s="20" t="s">
        <v>276</v>
      </c>
      <c r="D32" s="21" t="s">
        <v>340</v>
      </c>
      <c r="E32" s="21" t="s">
        <v>226</v>
      </c>
      <c r="F32" s="32" t="s">
        <v>234</v>
      </c>
      <c r="G32" s="20" t="s">
        <v>228</v>
      </c>
      <c r="H32" s="20">
        <v>3</v>
      </c>
      <c r="I32" s="20" t="s">
        <v>229</v>
      </c>
      <c r="J32" s="20">
        <v>4</v>
      </c>
      <c r="K32" s="21" t="s">
        <v>235</v>
      </c>
    </row>
    <row r="33" spans="1:11" ht="37.5" customHeight="1" x14ac:dyDescent="0.2">
      <c r="A33" s="16" t="s">
        <v>341</v>
      </c>
      <c r="B33" s="16" t="s">
        <v>73</v>
      </c>
      <c r="C33" s="16" t="s">
        <v>276</v>
      </c>
      <c r="D33" s="17" t="s">
        <v>342</v>
      </c>
      <c r="E33" s="17" t="s">
        <v>343</v>
      </c>
      <c r="F33" s="34" t="s">
        <v>259</v>
      </c>
      <c r="G33" s="16" t="s">
        <v>228</v>
      </c>
      <c r="H33" s="16">
        <v>96</v>
      </c>
      <c r="I33" s="16" t="s">
        <v>244</v>
      </c>
      <c r="J33" s="16">
        <v>2</v>
      </c>
      <c r="K33" s="17" t="s">
        <v>344</v>
      </c>
    </row>
    <row r="34" spans="1:11" ht="37.5" customHeight="1" x14ac:dyDescent="0.2">
      <c r="A34" s="20" t="s">
        <v>345</v>
      </c>
      <c r="B34" s="20" t="s">
        <v>53</v>
      </c>
      <c r="C34" s="20" t="s">
        <v>286</v>
      </c>
      <c r="D34" s="21" t="s">
        <v>346</v>
      </c>
      <c r="E34" s="21" t="s">
        <v>273</v>
      </c>
      <c r="F34" s="32" t="s">
        <v>234</v>
      </c>
      <c r="G34" s="20" t="s">
        <v>291</v>
      </c>
      <c r="H34" s="20">
        <v>8</v>
      </c>
      <c r="I34" s="20" t="s">
        <v>229</v>
      </c>
      <c r="J34" s="20">
        <v>4</v>
      </c>
      <c r="K34" s="21" t="s">
        <v>292</v>
      </c>
    </row>
    <row r="35" spans="1:11" ht="37.5" customHeight="1" x14ac:dyDescent="0.2">
      <c r="A35" s="16" t="s">
        <v>347</v>
      </c>
      <c r="B35" s="16" t="s">
        <v>165</v>
      </c>
      <c r="C35" s="16" t="s">
        <v>224</v>
      </c>
      <c r="D35" s="17" t="s">
        <v>348</v>
      </c>
      <c r="E35" s="17" t="s">
        <v>226</v>
      </c>
      <c r="F35" s="34" t="s">
        <v>259</v>
      </c>
      <c r="G35" s="16" t="s">
        <v>228</v>
      </c>
      <c r="H35" s="16">
        <v>4</v>
      </c>
      <c r="I35" s="16" t="s">
        <v>229</v>
      </c>
      <c r="J35" s="16">
        <v>4</v>
      </c>
      <c r="K35" s="17" t="s">
        <v>235</v>
      </c>
    </row>
    <row r="36" spans="1:11" ht="37.5" customHeight="1" x14ac:dyDescent="0.2">
      <c r="A36" s="20" t="s">
        <v>349</v>
      </c>
      <c r="B36" s="20" t="s">
        <v>350</v>
      </c>
      <c r="C36" s="20" t="s">
        <v>232</v>
      </c>
      <c r="D36" s="21" t="s">
        <v>351</v>
      </c>
      <c r="E36" s="21" t="s">
        <v>332</v>
      </c>
      <c r="F36" s="33" t="s">
        <v>239</v>
      </c>
      <c r="G36" s="20" t="s">
        <v>228</v>
      </c>
      <c r="H36" s="20">
        <v>168</v>
      </c>
      <c r="I36" s="20" t="s">
        <v>260</v>
      </c>
      <c r="J36" s="20">
        <v>3</v>
      </c>
      <c r="K36" s="21" t="s">
        <v>333</v>
      </c>
    </row>
    <row r="37" spans="1:11" ht="37.5" customHeight="1" x14ac:dyDescent="0.2">
      <c r="A37" s="16" t="s">
        <v>352</v>
      </c>
      <c r="B37" s="16" t="s">
        <v>353</v>
      </c>
      <c r="C37" s="16" t="s">
        <v>276</v>
      </c>
      <c r="D37" s="17" t="s">
        <v>354</v>
      </c>
      <c r="E37" s="17" t="s">
        <v>343</v>
      </c>
      <c r="F37" s="34" t="s">
        <v>259</v>
      </c>
      <c r="G37" s="16" t="s">
        <v>228</v>
      </c>
      <c r="H37" s="16">
        <v>72</v>
      </c>
      <c r="I37" s="16" t="s">
        <v>244</v>
      </c>
      <c r="J37" s="16">
        <v>2</v>
      </c>
      <c r="K37" s="17" t="s">
        <v>230</v>
      </c>
    </row>
    <row r="38" spans="1:11" ht="37.5" customHeight="1" x14ac:dyDescent="0.2">
      <c r="A38" s="20" t="s">
        <v>355</v>
      </c>
      <c r="B38" s="20" t="s">
        <v>356</v>
      </c>
      <c r="C38" s="20" t="s">
        <v>286</v>
      </c>
      <c r="D38" s="21" t="s">
        <v>357</v>
      </c>
      <c r="E38" s="21" t="s">
        <v>358</v>
      </c>
      <c r="F38" s="32" t="s">
        <v>234</v>
      </c>
      <c r="G38" s="20" t="s">
        <v>250</v>
      </c>
      <c r="H38" s="20">
        <v>24</v>
      </c>
      <c r="I38" s="20" t="s">
        <v>244</v>
      </c>
      <c r="J38" s="20">
        <v>3</v>
      </c>
      <c r="K38" s="21" t="s">
        <v>359</v>
      </c>
    </row>
    <row r="39" spans="1:11" ht="37.5" customHeight="1" x14ac:dyDescent="0.2">
      <c r="A39" s="16" t="s">
        <v>360</v>
      </c>
      <c r="B39" s="16" t="s">
        <v>361</v>
      </c>
      <c r="C39" s="16" t="s">
        <v>276</v>
      </c>
      <c r="D39" s="17" t="s">
        <v>362</v>
      </c>
      <c r="E39" s="17" t="s">
        <v>278</v>
      </c>
      <c r="F39" s="32" t="s">
        <v>234</v>
      </c>
      <c r="G39" s="16" t="s">
        <v>228</v>
      </c>
      <c r="H39" s="16">
        <v>4</v>
      </c>
      <c r="I39" s="16" t="s">
        <v>229</v>
      </c>
      <c r="J39" s="16">
        <v>4</v>
      </c>
      <c r="K39" s="17" t="s">
        <v>230</v>
      </c>
    </row>
    <row r="40" spans="1:11" ht="37.5" customHeight="1" x14ac:dyDescent="0.2">
      <c r="A40" s="20" t="s">
        <v>363</v>
      </c>
      <c r="B40" s="20" t="s">
        <v>364</v>
      </c>
      <c r="C40" s="20" t="s">
        <v>224</v>
      </c>
      <c r="D40" s="21" t="s">
        <v>365</v>
      </c>
      <c r="E40" s="21" t="s">
        <v>226</v>
      </c>
      <c r="F40" s="35" t="s">
        <v>259</v>
      </c>
      <c r="G40" s="20" t="s">
        <v>228</v>
      </c>
      <c r="H40" s="20">
        <v>6</v>
      </c>
      <c r="I40" s="20" t="s">
        <v>229</v>
      </c>
      <c r="J40" s="20">
        <v>4</v>
      </c>
      <c r="K40" s="21" t="s">
        <v>235</v>
      </c>
    </row>
    <row r="41" spans="1:11" ht="37.5" customHeight="1" x14ac:dyDescent="0.2">
      <c r="A41" s="16" t="s">
        <v>366</v>
      </c>
      <c r="B41" s="16" t="s">
        <v>73</v>
      </c>
      <c r="C41" s="16" t="s">
        <v>286</v>
      </c>
      <c r="D41" s="17" t="s">
        <v>367</v>
      </c>
      <c r="E41" s="17" t="s">
        <v>368</v>
      </c>
      <c r="F41" s="34" t="s">
        <v>259</v>
      </c>
      <c r="G41" s="16" t="s">
        <v>228</v>
      </c>
      <c r="H41" s="16">
        <v>24</v>
      </c>
      <c r="I41" s="16" t="s">
        <v>244</v>
      </c>
      <c r="J41" s="16">
        <v>3</v>
      </c>
      <c r="K41" s="17" t="s">
        <v>344</v>
      </c>
    </row>
    <row r="42" spans="1:11" ht="37.5" customHeight="1" x14ac:dyDescent="0.2">
      <c r="A42" s="20" t="s">
        <v>369</v>
      </c>
      <c r="B42" s="20" t="s">
        <v>364</v>
      </c>
      <c r="C42" s="20" t="s">
        <v>271</v>
      </c>
      <c r="D42" s="21" t="s">
        <v>370</v>
      </c>
      <c r="E42" s="21" t="s">
        <v>254</v>
      </c>
      <c r="F42" s="19" t="s">
        <v>227</v>
      </c>
      <c r="G42" s="20" t="s">
        <v>250</v>
      </c>
      <c r="H42" s="20">
        <v>2</v>
      </c>
      <c r="I42" s="20" t="s">
        <v>229</v>
      </c>
      <c r="J42" s="20">
        <v>4</v>
      </c>
      <c r="K42" s="21" t="s">
        <v>255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O1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12" customWidth="1"/>
    <col min="4" max="4" width="13" customWidth="1"/>
    <col min="5" max="5" width="14" customWidth="1"/>
    <col min="6" max="6" width="13" customWidth="1"/>
    <col min="7" max="7" width="14" customWidth="1"/>
    <col min="8" max="8" width="10" customWidth="1"/>
    <col min="9" max="9" width="13" customWidth="1"/>
    <col min="10" max="10" width="10" customWidth="1"/>
    <col min="11" max="11" width="12" customWidth="1"/>
    <col min="12" max="12" width="13" customWidth="1"/>
    <col min="13" max="13" width="14" customWidth="1"/>
    <col min="14" max="14" width="16" customWidth="1"/>
  </cols>
  <sheetData>
    <row r="1" spans="1:15" ht="25.5" customHeight="1" x14ac:dyDescent="0.2">
      <c r="A1" s="3" t="s">
        <v>371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3.5" customHeight="1" x14ac:dyDescent="0.2">
      <c r="A2" s="36" t="s">
        <v>372</v>
      </c>
      <c r="B2" s="36" t="s">
        <v>286</v>
      </c>
      <c r="C2" s="36" t="s">
        <v>373</v>
      </c>
      <c r="D2" s="36" t="s">
        <v>374</v>
      </c>
      <c r="E2" s="36" t="s">
        <v>375</v>
      </c>
      <c r="F2" s="36" t="s">
        <v>376</v>
      </c>
      <c r="G2" s="36" t="s">
        <v>377</v>
      </c>
      <c r="H2" s="36" t="s">
        <v>378</v>
      </c>
      <c r="I2" s="36" t="s">
        <v>379</v>
      </c>
      <c r="J2" s="36" t="s">
        <v>380</v>
      </c>
      <c r="K2" s="36" t="s">
        <v>381</v>
      </c>
      <c r="L2" s="36" t="s">
        <v>382</v>
      </c>
      <c r="M2" s="36" t="s">
        <v>383</v>
      </c>
      <c r="N2" s="36" t="s">
        <v>219</v>
      </c>
    </row>
    <row r="3" spans="1:15" ht="15" customHeight="1" x14ac:dyDescent="0.2">
      <c r="A3" s="16" t="s">
        <v>384</v>
      </c>
      <c r="B3" s="16" t="s">
        <v>385</v>
      </c>
      <c r="C3" s="16" t="s">
        <v>386</v>
      </c>
      <c r="D3" s="37">
        <v>111</v>
      </c>
      <c r="E3" s="38">
        <v>19.100000000000001</v>
      </c>
      <c r="F3" s="38">
        <v>74.099999999999994</v>
      </c>
      <c r="G3" s="39">
        <v>90.5</v>
      </c>
      <c r="H3" s="37">
        <v>7</v>
      </c>
      <c r="I3" s="38">
        <v>25</v>
      </c>
      <c r="J3" s="37">
        <v>18</v>
      </c>
      <c r="K3" s="18">
        <v>2405</v>
      </c>
      <c r="L3" s="38">
        <v>72.8</v>
      </c>
      <c r="M3" s="38">
        <v>99.6</v>
      </c>
      <c r="N3" s="23" t="s">
        <v>387</v>
      </c>
    </row>
    <row r="4" spans="1:15" ht="15" customHeight="1" x14ac:dyDescent="0.2">
      <c r="A4" s="20" t="s">
        <v>384</v>
      </c>
      <c r="B4" s="20" t="s">
        <v>388</v>
      </c>
      <c r="C4" s="20" t="s">
        <v>386</v>
      </c>
      <c r="D4" s="40">
        <v>92</v>
      </c>
      <c r="E4" s="41">
        <v>13.3</v>
      </c>
      <c r="F4" s="41">
        <v>49.5</v>
      </c>
      <c r="G4" s="42">
        <v>74</v>
      </c>
      <c r="H4" s="40">
        <v>11</v>
      </c>
      <c r="I4" s="41">
        <v>5.4</v>
      </c>
      <c r="J4" s="40">
        <v>10</v>
      </c>
      <c r="K4" s="22">
        <v>1318</v>
      </c>
      <c r="L4" s="41">
        <v>77.7</v>
      </c>
      <c r="M4" s="41">
        <v>107.9</v>
      </c>
      <c r="N4" s="24" t="s">
        <v>389</v>
      </c>
    </row>
    <row r="5" spans="1:15" ht="15" customHeight="1" x14ac:dyDescent="0.2">
      <c r="A5" s="16" t="s">
        <v>384</v>
      </c>
      <c r="B5" s="16" t="s">
        <v>390</v>
      </c>
      <c r="C5" s="16" t="s">
        <v>391</v>
      </c>
      <c r="D5" s="37">
        <v>66</v>
      </c>
      <c r="E5" s="38">
        <v>40.299999999999997</v>
      </c>
      <c r="F5" s="38">
        <v>67.599999999999994</v>
      </c>
      <c r="G5" s="39">
        <v>90.6</v>
      </c>
      <c r="H5" s="37">
        <v>16</v>
      </c>
      <c r="I5" s="38">
        <v>28</v>
      </c>
      <c r="J5" s="37">
        <v>10</v>
      </c>
      <c r="K5" s="18">
        <v>3302</v>
      </c>
      <c r="L5" s="38">
        <v>52.2</v>
      </c>
      <c r="M5" s="38">
        <v>82.1</v>
      </c>
      <c r="N5" s="19" t="s">
        <v>392</v>
      </c>
    </row>
    <row r="6" spans="1:15" ht="15" customHeight="1" x14ac:dyDescent="0.2">
      <c r="A6" s="20" t="s">
        <v>384</v>
      </c>
      <c r="B6" s="20" t="s">
        <v>393</v>
      </c>
      <c r="C6" s="20" t="s">
        <v>394</v>
      </c>
      <c r="D6" s="40">
        <v>154</v>
      </c>
      <c r="E6" s="41">
        <v>33</v>
      </c>
      <c r="F6" s="41">
        <v>72.8</v>
      </c>
      <c r="G6" s="42">
        <v>85.9</v>
      </c>
      <c r="H6" s="40">
        <v>22</v>
      </c>
      <c r="I6" s="41">
        <v>8.1999999999999993</v>
      </c>
      <c r="J6" s="40">
        <v>21</v>
      </c>
      <c r="K6" s="22">
        <v>3353</v>
      </c>
      <c r="L6" s="41">
        <v>65.599999999999994</v>
      </c>
      <c r="M6" s="41">
        <v>95.8</v>
      </c>
      <c r="N6" s="23" t="s">
        <v>387</v>
      </c>
    </row>
    <row r="7" spans="1:15" ht="15" customHeight="1" x14ac:dyDescent="0.2">
      <c r="A7" s="16" t="s">
        <v>384</v>
      </c>
      <c r="B7" s="16" t="s">
        <v>395</v>
      </c>
      <c r="C7" s="16" t="s">
        <v>396</v>
      </c>
      <c r="D7" s="37">
        <v>79</v>
      </c>
      <c r="E7" s="38">
        <v>24.6</v>
      </c>
      <c r="F7" s="38">
        <v>62.4</v>
      </c>
      <c r="G7" s="39">
        <v>83</v>
      </c>
      <c r="H7" s="37">
        <v>11</v>
      </c>
      <c r="I7" s="38">
        <v>10.9</v>
      </c>
      <c r="J7" s="37">
        <v>16</v>
      </c>
      <c r="K7" s="18">
        <v>4118</v>
      </c>
      <c r="L7" s="38">
        <v>48.1</v>
      </c>
      <c r="M7" s="38">
        <v>91.8</v>
      </c>
      <c r="N7" s="23" t="s">
        <v>387</v>
      </c>
    </row>
    <row r="8" spans="1:15" ht="15" customHeight="1" x14ac:dyDescent="0.2">
      <c r="A8" s="20" t="s">
        <v>397</v>
      </c>
      <c r="B8" s="20" t="s">
        <v>385</v>
      </c>
      <c r="C8" s="20" t="s">
        <v>386</v>
      </c>
      <c r="D8" s="40">
        <v>116</v>
      </c>
      <c r="E8" s="41">
        <v>22.9</v>
      </c>
      <c r="F8" s="41">
        <v>23.5</v>
      </c>
      <c r="G8" s="42">
        <v>81.7</v>
      </c>
      <c r="H8" s="40">
        <v>9</v>
      </c>
      <c r="I8" s="41">
        <v>22.3</v>
      </c>
      <c r="J8" s="40">
        <v>22</v>
      </c>
      <c r="K8" s="22">
        <v>2793</v>
      </c>
      <c r="L8" s="41">
        <v>66.099999999999994</v>
      </c>
      <c r="M8" s="41">
        <v>77.599999999999994</v>
      </c>
      <c r="N8" s="19" t="s">
        <v>392</v>
      </c>
    </row>
    <row r="9" spans="1:15" ht="15" customHeight="1" x14ac:dyDescent="0.2">
      <c r="A9" s="16" t="s">
        <v>397</v>
      </c>
      <c r="B9" s="16" t="s">
        <v>388</v>
      </c>
      <c r="C9" s="16" t="s">
        <v>386</v>
      </c>
      <c r="D9" s="37">
        <v>155</v>
      </c>
      <c r="E9" s="38">
        <v>32.299999999999997</v>
      </c>
      <c r="F9" s="38">
        <v>77</v>
      </c>
      <c r="G9" s="39">
        <v>78.900000000000006</v>
      </c>
      <c r="H9" s="37">
        <v>25</v>
      </c>
      <c r="I9" s="38">
        <v>17.899999999999999</v>
      </c>
      <c r="J9" s="37">
        <v>21</v>
      </c>
      <c r="K9" s="18">
        <v>1553</v>
      </c>
      <c r="L9" s="38">
        <v>47</v>
      </c>
      <c r="M9" s="38">
        <v>93.4</v>
      </c>
      <c r="N9" s="23" t="s">
        <v>387</v>
      </c>
    </row>
    <row r="10" spans="1:15" ht="15" customHeight="1" x14ac:dyDescent="0.2">
      <c r="A10" s="20" t="s">
        <v>397</v>
      </c>
      <c r="B10" s="20" t="s">
        <v>390</v>
      </c>
      <c r="C10" s="20" t="s">
        <v>391</v>
      </c>
      <c r="D10" s="40">
        <v>158</v>
      </c>
      <c r="E10" s="41">
        <v>31.8</v>
      </c>
      <c r="F10" s="41">
        <v>25.4</v>
      </c>
      <c r="G10" s="42">
        <v>79.599999999999994</v>
      </c>
      <c r="H10" s="40">
        <v>10</v>
      </c>
      <c r="I10" s="41">
        <v>32.4</v>
      </c>
      <c r="J10" s="40">
        <v>20</v>
      </c>
      <c r="K10" s="22">
        <v>4072</v>
      </c>
      <c r="L10" s="41">
        <v>46.1</v>
      </c>
      <c r="M10" s="41">
        <v>108.7</v>
      </c>
      <c r="N10" s="24" t="s">
        <v>389</v>
      </c>
    </row>
    <row r="11" spans="1:15" ht="15" customHeight="1" x14ac:dyDescent="0.2">
      <c r="A11" s="16" t="s">
        <v>397</v>
      </c>
      <c r="B11" s="16" t="s">
        <v>393</v>
      </c>
      <c r="C11" s="16" t="s">
        <v>394</v>
      </c>
      <c r="D11" s="37">
        <v>140</v>
      </c>
      <c r="E11" s="38">
        <v>27.5</v>
      </c>
      <c r="F11" s="38">
        <v>57.7</v>
      </c>
      <c r="G11" s="39">
        <v>93.2</v>
      </c>
      <c r="H11" s="37">
        <v>24</v>
      </c>
      <c r="I11" s="38">
        <v>23.5</v>
      </c>
      <c r="J11" s="37">
        <v>19</v>
      </c>
      <c r="K11" s="18">
        <v>5266</v>
      </c>
      <c r="L11" s="38">
        <v>46.5</v>
      </c>
      <c r="M11" s="38">
        <v>98.5</v>
      </c>
      <c r="N11" s="23" t="s">
        <v>387</v>
      </c>
    </row>
    <row r="12" spans="1:15" ht="15" customHeight="1" x14ac:dyDescent="0.2">
      <c r="A12" s="20" t="s">
        <v>397</v>
      </c>
      <c r="B12" s="20" t="s">
        <v>395</v>
      </c>
      <c r="C12" s="20" t="s">
        <v>396</v>
      </c>
      <c r="D12" s="40">
        <v>54</v>
      </c>
      <c r="E12" s="41">
        <v>21.6</v>
      </c>
      <c r="F12" s="41">
        <v>62.3</v>
      </c>
      <c r="G12" s="42">
        <v>77.599999999999994</v>
      </c>
      <c r="H12" s="40">
        <v>11</v>
      </c>
      <c r="I12" s="41">
        <v>10.6</v>
      </c>
      <c r="J12" s="40">
        <v>20</v>
      </c>
      <c r="K12" s="22">
        <v>2119</v>
      </c>
      <c r="L12" s="41">
        <v>74</v>
      </c>
      <c r="M12" s="41">
        <v>79.2</v>
      </c>
      <c r="N12" s="19" t="s">
        <v>392</v>
      </c>
    </row>
    <row r="13" spans="1:15" ht="15" customHeight="1" x14ac:dyDescent="0.2">
      <c r="A13" s="16" t="s">
        <v>398</v>
      </c>
      <c r="B13" s="16" t="s">
        <v>385</v>
      </c>
      <c r="C13" s="16" t="s">
        <v>386</v>
      </c>
      <c r="D13" s="37">
        <v>154</v>
      </c>
      <c r="E13" s="38">
        <v>32</v>
      </c>
      <c r="F13" s="38">
        <v>51.1</v>
      </c>
      <c r="G13" s="39">
        <v>83.2</v>
      </c>
      <c r="H13" s="37">
        <v>3</v>
      </c>
      <c r="I13" s="38">
        <v>35.1</v>
      </c>
      <c r="J13" s="37">
        <v>21</v>
      </c>
      <c r="K13" s="18">
        <v>4010</v>
      </c>
      <c r="L13" s="38">
        <v>63.8</v>
      </c>
      <c r="M13" s="38">
        <v>94.6</v>
      </c>
      <c r="N13" s="23" t="s">
        <v>387</v>
      </c>
    </row>
    <row r="14" spans="1:15" ht="15" customHeight="1" x14ac:dyDescent="0.2">
      <c r="A14" s="20" t="s">
        <v>398</v>
      </c>
      <c r="B14" s="20" t="s">
        <v>388</v>
      </c>
      <c r="C14" s="20" t="s">
        <v>386</v>
      </c>
      <c r="D14" s="40">
        <v>77</v>
      </c>
      <c r="E14" s="41">
        <v>44.9</v>
      </c>
      <c r="F14" s="41">
        <v>22.9</v>
      </c>
      <c r="G14" s="42">
        <v>76.400000000000006</v>
      </c>
      <c r="H14" s="40">
        <v>10</v>
      </c>
      <c r="I14" s="41">
        <v>22.3</v>
      </c>
      <c r="J14" s="40">
        <v>19</v>
      </c>
      <c r="K14" s="22">
        <v>1834</v>
      </c>
      <c r="L14" s="41">
        <v>75.5</v>
      </c>
      <c r="M14" s="41">
        <v>94.4</v>
      </c>
      <c r="N14" s="23" t="s">
        <v>387</v>
      </c>
    </row>
    <row r="15" spans="1:15" ht="15" customHeight="1" x14ac:dyDescent="0.2">
      <c r="A15" s="16" t="s">
        <v>398</v>
      </c>
      <c r="B15" s="16" t="s">
        <v>390</v>
      </c>
      <c r="C15" s="16" t="s">
        <v>391</v>
      </c>
      <c r="D15" s="37">
        <v>54</v>
      </c>
      <c r="E15" s="38">
        <v>8.6999999999999993</v>
      </c>
      <c r="F15" s="38">
        <v>36.799999999999997</v>
      </c>
      <c r="G15" s="39">
        <v>81.900000000000006</v>
      </c>
      <c r="H15" s="37">
        <v>19</v>
      </c>
      <c r="I15" s="38">
        <v>20.8</v>
      </c>
      <c r="J15" s="37">
        <v>15</v>
      </c>
      <c r="K15" s="18">
        <v>3027</v>
      </c>
      <c r="L15" s="38">
        <v>64.8</v>
      </c>
      <c r="M15" s="38">
        <v>84.8</v>
      </c>
      <c r="N15" s="19" t="s">
        <v>392</v>
      </c>
    </row>
    <row r="16" spans="1:15" ht="15" customHeight="1" x14ac:dyDescent="0.2">
      <c r="A16" s="20" t="s">
        <v>398</v>
      </c>
      <c r="B16" s="20" t="s">
        <v>393</v>
      </c>
      <c r="C16" s="20" t="s">
        <v>394</v>
      </c>
      <c r="D16" s="40">
        <v>53</v>
      </c>
      <c r="E16" s="41">
        <v>22.2</v>
      </c>
      <c r="F16" s="41">
        <v>61.4</v>
      </c>
      <c r="G16" s="42">
        <v>72.400000000000006</v>
      </c>
      <c r="H16" s="40">
        <v>6</v>
      </c>
      <c r="I16" s="41">
        <v>12.6</v>
      </c>
      <c r="J16" s="40">
        <v>18</v>
      </c>
      <c r="K16" s="22">
        <v>2962</v>
      </c>
      <c r="L16" s="41">
        <v>48.3</v>
      </c>
      <c r="M16" s="41">
        <v>97.3</v>
      </c>
      <c r="N16" s="23" t="s">
        <v>387</v>
      </c>
    </row>
    <row r="17" spans="1:14" ht="15" customHeight="1" x14ac:dyDescent="0.2">
      <c r="A17" s="16" t="s">
        <v>398</v>
      </c>
      <c r="B17" s="16" t="s">
        <v>395</v>
      </c>
      <c r="C17" s="16" t="s">
        <v>396</v>
      </c>
      <c r="D17" s="37">
        <v>136</v>
      </c>
      <c r="E17" s="38">
        <v>36.700000000000003</v>
      </c>
      <c r="F17" s="38">
        <v>53.5</v>
      </c>
      <c r="G17" s="39">
        <v>80</v>
      </c>
      <c r="H17" s="37">
        <v>22</v>
      </c>
      <c r="I17" s="38">
        <v>15.6</v>
      </c>
      <c r="J17" s="37">
        <v>8</v>
      </c>
      <c r="K17" s="18">
        <v>3796</v>
      </c>
      <c r="L17" s="38">
        <v>53.9</v>
      </c>
      <c r="M17" s="38">
        <v>75.7</v>
      </c>
      <c r="N17" s="19" t="s">
        <v>392</v>
      </c>
    </row>
    <row r="18" spans="1:14" ht="15" customHeight="1" x14ac:dyDescent="0.2">
      <c r="A18" s="20" t="s">
        <v>399</v>
      </c>
      <c r="B18" s="20" t="s">
        <v>385</v>
      </c>
      <c r="C18" s="20" t="s">
        <v>386</v>
      </c>
      <c r="D18" s="40">
        <v>56</v>
      </c>
      <c r="E18" s="41">
        <v>30.4</v>
      </c>
      <c r="F18" s="41">
        <v>15.3</v>
      </c>
      <c r="G18" s="42">
        <v>89.7</v>
      </c>
      <c r="H18" s="40">
        <v>8</v>
      </c>
      <c r="I18" s="41">
        <v>18.7</v>
      </c>
      <c r="J18" s="40">
        <v>16</v>
      </c>
      <c r="K18" s="22">
        <v>4392</v>
      </c>
      <c r="L18" s="41">
        <v>51.3</v>
      </c>
      <c r="M18" s="41">
        <v>84.4</v>
      </c>
      <c r="N18" s="19" t="s">
        <v>392</v>
      </c>
    </row>
    <row r="19" spans="1:14" ht="15" customHeight="1" x14ac:dyDescent="0.2">
      <c r="A19" s="16" t="s">
        <v>399</v>
      </c>
      <c r="B19" s="16" t="s">
        <v>388</v>
      </c>
      <c r="C19" s="16" t="s">
        <v>386</v>
      </c>
      <c r="D19" s="37">
        <v>156</v>
      </c>
      <c r="E19" s="38">
        <v>43.2</v>
      </c>
      <c r="F19" s="38">
        <v>24.6</v>
      </c>
      <c r="G19" s="39">
        <v>69.5</v>
      </c>
      <c r="H19" s="37">
        <v>13</v>
      </c>
      <c r="I19" s="38">
        <v>30.4</v>
      </c>
      <c r="J19" s="37">
        <v>11</v>
      </c>
      <c r="K19" s="18">
        <v>3722</v>
      </c>
      <c r="L19" s="38">
        <v>50.1</v>
      </c>
      <c r="M19" s="38">
        <v>88.7</v>
      </c>
      <c r="N19" s="23" t="s">
        <v>387</v>
      </c>
    </row>
    <row r="20" spans="1:14" ht="15" customHeight="1" x14ac:dyDescent="0.2">
      <c r="A20" s="20" t="s">
        <v>399</v>
      </c>
      <c r="B20" s="20" t="s">
        <v>390</v>
      </c>
      <c r="C20" s="20" t="s">
        <v>391</v>
      </c>
      <c r="D20" s="40">
        <v>53</v>
      </c>
      <c r="E20" s="41">
        <v>21.2</v>
      </c>
      <c r="F20" s="41">
        <v>21.5</v>
      </c>
      <c r="G20" s="42">
        <v>81.7</v>
      </c>
      <c r="H20" s="40">
        <v>20</v>
      </c>
      <c r="I20" s="41">
        <v>32.1</v>
      </c>
      <c r="J20" s="40">
        <v>14</v>
      </c>
      <c r="K20" s="22">
        <v>1556</v>
      </c>
      <c r="L20" s="41">
        <v>52</v>
      </c>
      <c r="M20" s="41">
        <v>84.7</v>
      </c>
      <c r="N20" s="19" t="s">
        <v>392</v>
      </c>
    </row>
    <row r="21" spans="1:14" ht="15" customHeight="1" x14ac:dyDescent="0.2">
      <c r="A21" s="16" t="s">
        <v>399</v>
      </c>
      <c r="B21" s="16" t="s">
        <v>393</v>
      </c>
      <c r="C21" s="16" t="s">
        <v>394</v>
      </c>
      <c r="D21" s="37">
        <v>57</v>
      </c>
      <c r="E21" s="38">
        <v>20.3</v>
      </c>
      <c r="F21" s="38">
        <v>73</v>
      </c>
      <c r="G21" s="39">
        <v>83.3</v>
      </c>
      <c r="H21" s="37">
        <v>6</v>
      </c>
      <c r="I21" s="38">
        <v>32.9</v>
      </c>
      <c r="J21" s="37">
        <v>22</v>
      </c>
      <c r="K21" s="18">
        <v>3232</v>
      </c>
      <c r="L21" s="38">
        <v>74.5</v>
      </c>
      <c r="M21" s="38">
        <v>101.3</v>
      </c>
      <c r="N21" s="24" t="s">
        <v>389</v>
      </c>
    </row>
    <row r="22" spans="1:14" ht="15" customHeight="1" x14ac:dyDescent="0.2">
      <c r="A22" s="20" t="s">
        <v>399</v>
      </c>
      <c r="B22" s="20" t="s">
        <v>395</v>
      </c>
      <c r="C22" s="20" t="s">
        <v>396</v>
      </c>
      <c r="D22" s="40">
        <v>67</v>
      </c>
      <c r="E22" s="41">
        <v>26</v>
      </c>
      <c r="F22" s="41">
        <v>39.200000000000003</v>
      </c>
      <c r="G22" s="42">
        <v>77.7</v>
      </c>
      <c r="H22" s="40">
        <v>8</v>
      </c>
      <c r="I22" s="41">
        <v>6</v>
      </c>
      <c r="J22" s="40">
        <v>11</v>
      </c>
      <c r="K22" s="22">
        <v>3155</v>
      </c>
      <c r="L22" s="41">
        <v>58.8</v>
      </c>
      <c r="M22" s="41">
        <v>111.6</v>
      </c>
      <c r="N22" s="24" t="s">
        <v>389</v>
      </c>
    </row>
    <row r="23" spans="1:14" ht="15" customHeight="1" x14ac:dyDescent="0.2">
      <c r="A23" s="16" t="s">
        <v>400</v>
      </c>
      <c r="B23" s="16" t="s">
        <v>385</v>
      </c>
      <c r="C23" s="16" t="s">
        <v>386</v>
      </c>
      <c r="D23" s="37">
        <v>157</v>
      </c>
      <c r="E23" s="38">
        <v>15.6</v>
      </c>
      <c r="F23" s="38">
        <v>40.6</v>
      </c>
      <c r="G23" s="39">
        <v>69.5</v>
      </c>
      <c r="H23" s="37">
        <v>19</v>
      </c>
      <c r="I23" s="38">
        <v>32.799999999999997</v>
      </c>
      <c r="J23" s="37">
        <v>9</v>
      </c>
      <c r="K23" s="18">
        <v>2323</v>
      </c>
      <c r="L23" s="38">
        <v>75.7</v>
      </c>
      <c r="M23" s="38">
        <v>104.7</v>
      </c>
      <c r="N23" s="24" t="s">
        <v>389</v>
      </c>
    </row>
    <row r="24" spans="1:14" ht="15" customHeight="1" x14ac:dyDescent="0.2">
      <c r="A24" s="20" t="s">
        <v>400</v>
      </c>
      <c r="B24" s="20" t="s">
        <v>388</v>
      </c>
      <c r="C24" s="20" t="s">
        <v>386</v>
      </c>
      <c r="D24" s="40">
        <v>139</v>
      </c>
      <c r="E24" s="41">
        <v>28</v>
      </c>
      <c r="F24" s="41">
        <v>34.5</v>
      </c>
      <c r="G24" s="42">
        <v>94.9</v>
      </c>
      <c r="H24" s="40">
        <v>11</v>
      </c>
      <c r="I24" s="41">
        <v>12.7</v>
      </c>
      <c r="J24" s="40">
        <v>13</v>
      </c>
      <c r="K24" s="22">
        <v>1626</v>
      </c>
      <c r="L24" s="41">
        <v>75.3</v>
      </c>
      <c r="M24" s="41">
        <v>79.2</v>
      </c>
      <c r="N24" s="19" t="s">
        <v>392</v>
      </c>
    </row>
    <row r="25" spans="1:14" ht="15" customHeight="1" x14ac:dyDescent="0.2">
      <c r="A25" s="16" t="s">
        <v>400</v>
      </c>
      <c r="B25" s="16" t="s">
        <v>390</v>
      </c>
      <c r="C25" s="16" t="s">
        <v>391</v>
      </c>
      <c r="D25" s="37">
        <v>48</v>
      </c>
      <c r="E25" s="38">
        <v>12.4</v>
      </c>
      <c r="F25" s="38">
        <v>61.5</v>
      </c>
      <c r="G25" s="39">
        <v>92.3</v>
      </c>
      <c r="H25" s="37">
        <v>12</v>
      </c>
      <c r="I25" s="38">
        <v>30</v>
      </c>
      <c r="J25" s="37">
        <v>14</v>
      </c>
      <c r="K25" s="18">
        <v>2515</v>
      </c>
      <c r="L25" s="38">
        <v>62.9</v>
      </c>
      <c r="M25" s="38">
        <v>107.8</v>
      </c>
      <c r="N25" s="24" t="s">
        <v>389</v>
      </c>
    </row>
    <row r="26" spans="1:14" ht="15" customHeight="1" x14ac:dyDescent="0.2">
      <c r="A26" s="20" t="s">
        <v>400</v>
      </c>
      <c r="B26" s="20" t="s">
        <v>393</v>
      </c>
      <c r="C26" s="20" t="s">
        <v>394</v>
      </c>
      <c r="D26" s="40">
        <v>119</v>
      </c>
      <c r="E26" s="41">
        <v>42</v>
      </c>
      <c r="F26" s="41">
        <v>17.7</v>
      </c>
      <c r="G26" s="42">
        <v>70.7</v>
      </c>
      <c r="H26" s="40">
        <v>14</v>
      </c>
      <c r="I26" s="41">
        <v>35.9</v>
      </c>
      <c r="J26" s="40">
        <v>15</v>
      </c>
      <c r="K26" s="22">
        <v>4395</v>
      </c>
      <c r="L26" s="41">
        <v>48.7</v>
      </c>
      <c r="M26" s="41">
        <v>105.7</v>
      </c>
      <c r="N26" s="24" t="s">
        <v>389</v>
      </c>
    </row>
    <row r="27" spans="1:14" ht="15" customHeight="1" x14ac:dyDescent="0.2">
      <c r="A27" s="16" t="s">
        <v>400</v>
      </c>
      <c r="B27" s="16" t="s">
        <v>395</v>
      </c>
      <c r="C27" s="16" t="s">
        <v>396</v>
      </c>
      <c r="D27" s="37">
        <v>160</v>
      </c>
      <c r="E27" s="38">
        <v>19.5</v>
      </c>
      <c r="F27" s="38">
        <v>49.2</v>
      </c>
      <c r="G27" s="39">
        <v>82.9</v>
      </c>
      <c r="H27" s="37">
        <v>10</v>
      </c>
      <c r="I27" s="38">
        <v>15</v>
      </c>
      <c r="J27" s="37">
        <v>22</v>
      </c>
      <c r="K27" s="18">
        <v>3225</v>
      </c>
      <c r="L27" s="38">
        <v>76.2</v>
      </c>
      <c r="M27" s="38">
        <v>113</v>
      </c>
      <c r="N27" s="24" t="s">
        <v>389</v>
      </c>
    </row>
    <row r="28" spans="1:14" ht="15" customHeight="1" x14ac:dyDescent="0.2">
      <c r="A28" s="20" t="s">
        <v>401</v>
      </c>
      <c r="B28" s="20" t="s">
        <v>385</v>
      </c>
      <c r="C28" s="20" t="s">
        <v>386</v>
      </c>
      <c r="D28" s="40">
        <v>140</v>
      </c>
      <c r="E28" s="41">
        <v>23.7</v>
      </c>
      <c r="F28" s="41">
        <v>79.599999999999994</v>
      </c>
      <c r="G28" s="42">
        <v>89.3</v>
      </c>
      <c r="H28" s="40">
        <v>17</v>
      </c>
      <c r="I28" s="41">
        <v>17.399999999999999</v>
      </c>
      <c r="J28" s="40">
        <v>10</v>
      </c>
      <c r="K28" s="22">
        <v>4977</v>
      </c>
      <c r="L28" s="41">
        <v>61.1</v>
      </c>
      <c r="M28" s="41">
        <v>113.2</v>
      </c>
      <c r="N28" s="24" t="s">
        <v>389</v>
      </c>
    </row>
    <row r="29" spans="1:14" ht="15" customHeight="1" x14ac:dyDescent="0.2">
      <c r="A29" s="16" t="s">
        <v>401</v>
      </c>
      <c r="B29" s="16" t="s">
        <v>388</v>
      </c>
      <c r="C29" s="16" t="s">
        <v>386</v>
      </c>
      <c r="D29" s="37">
        <v>163</v>
      </c>
      <c r="E29" s="38">
        <v>15.6</v>
      </c>
      <c r="F29" s="38">
        <v>39.4</v>
      </c>
      <c r="G29" s="39">
        <v>81.3</v>
      </c>
      <c r="H29" s="37">
        <v>8</v>
      </c>
      <c r="I29" s="38">
        <v>5.4</v>
      </c>
      <c r="J29" s="37">
        <v>22</v>
      </c>
      <c r="K29" s="18">
        <v>1480</v>
      </c>
      <c r="L29" s="38">
        <v>57.3</v>
      </c>
      <c r="M29" s="38">
        <v>93.5</v>
      </c>
      <c r="N29" s="23" t="s">
        <v>387</v>
      </c>
    </row>
    <row r="30" spans="1:14" ht="15" customHeight="1" x14ac:dyDescent="0.2">
      <c r="A30" s="20" t="s">
        <v>401</v>
      </c>
      <c r="B30" s="20" t="s">
        <v>390</v>
      </c>
      <c r="C30" s="20" t="s">
        <v>391</v>
      </c>
      <c r="D30" s="40">
        <v>77</v>
      </c>
      <c r="E30" s="41">
        <v>12.3</v>
      </c>
      <c r="F30" s="41">
        <v>53.3</v>
      </c>
      <c r="G30" s="42">
        <v>76.599999999999994</v>
      </c>
      <c r="H30" s="40">
        <v>17</v>
      </c>
      <c r="I30" s="41">
        <v>22.5</v>
      </c>
      <c r="J30" s="40">
        <v>19</v>
      </c>
      <c r="K30" s="22">
        <v>1653</v>
      </c>
      <c r="L30" s="41">
        <v>46.6</v>
      </c>
      <c r="M30" s="41">
        <v>104</v>
      </c>
      <c r="N30" s="24" t="s">
        <v>389</v>
      </c>
    </row>
    <row r="31" spans="1:14" ht="15" customHeight="1" x14ac:dyDescent="0.2">
      <c r="A31" s="16" t="s">
        <v>401</v>
      </c>
      <c r="B31" s="16" t="s">
        <v>393</v>
      </c>
      <c r="C31" s="16" t="s">
        <v>394</v>
      </c>
      <c r="D31" s="37">
        <v>154</v>
      </c>
      <c r="E31" s="38">
        <v>9.5</v>
      </c>
      <c r="F31" s="38">
        <v>49.6</v>
      </c>
      <c r="G31" s="39">
        <v>89.8</v>
      </c>
      <c r="H31" s="37">
        <v>23</v>
      </c>
      <c r="I31" s="38">
        <v>9</v>
      </c>
      <c r="J31" s="37">
        <v>21</v>
      </c>
      <c r="K31" s="18">
        <v>2459</v>
      </c>
      <c r="L31" s="38">
        <v>64</v>
      </c>
      <c r="M31" s="38">
        <v>103.5</v>
      </c>
      <c r="N31" s="24" t="s">
        <v>389</v>
      </c>
    </row>
    <row r="32" spans="1:14" ht="15" customHeight="1" x14ac:dyDescent="0.2">
      <c r="A32" s="20" t="s">
        <v>401</v>
      </c>
      <c r="B32" s="20" t="s">
        <v>395</v>
      </c>
      <c r="C32" s="20" t="s">
        <v>396</v>
      </c>
      <c r="D32" s="40">
        <v>154</v>
      </c>
      <c r="E32" s="41">
        <v>42.3</v>
      </c>
      <c r="F32" s="41">
        <v>31.7</v>
      </c>
      <c r="G32" s="42">
        <v>81.599999999999994</v>
      </c>
      <c r="H32" s="40">
        <v>21</v>
      </c>
      <c r="I32" s="41">
        <v>7.5</v>
      </c>
      <c r="J32" s="40">
        <v>13</v>
      </c>
      <c r="K32" s="22">
        <v>5328</v>
      </c>
      <c r="L32" s="41">
        <v>38.4</v>
      </c>
      <c r="M32" s="41">
        <v>91.3</v>
      </c>
      <c r="N32" s="23" t="s">
        <v>387</v>
      </c>
    </row>
    <row r="33" spans="1:14" ht="15" customHeight="1" x14ac:dyDescent="0.2">
      <c r="A33" s="16" t="s">
        <v>402</v>
      </c>
      <c r="B33" s="16" t="s">
        <v>385</v>
      </c>
      <c r="C33" s="16" t="s">
        <v>386</v>
      </c>
      <c r="D33" s="37">
        <v>132</v>
      </c>
      <c r="E33" s="38">
        <v>32.299999999999997</v>
      </c>
      <c r="F33" s="38">
        <v>54.5</v>
      </c>
      <c r="G33" s="39">
        <v>82.7</v>
      </c>
      <c r="H33" s="37">
        <v>15</v>
      </c>
      <c r="I33" s="38">
        <v>11.9</v>
      </c>
      <c r="J33" s="37">
        <v>16</v>
      </c>
      <c r="K33" s="18">
        <v>1304</v>
      </c>
      <c r="L33" s="38">
        <v>42</v>
      </c>
      <c r="M33" s="38">
        <v>111.3</v>
      </c>
      <c r="N33" s="24" t="s">
        <v>389</v>
      </c>
    </row>
    <row r="34" spans="1:14" ht="15" customHeight="1" x14ac:dyDescent="0.2">
      <c r="A34" s="20" t="s">
        <v>402</v>
      </c>
      <c r="B34" s="20" t="s">
        <v>388</v>
      </c>
      <c r="C34" s="20" t="s">
        <v>386</v>
      </c>
      <c r="D34" s="40">
        <v>164</v>
      </c>
      <c r="E34" s="41">
        <v>38.299999999999997</v>
      </c>
      <c r="F34" s="41">
        <v>69</v>
      </c>
      <c r="G34" s="42">
        <v>87.1</v>
      </c>
      <c r="H34" s="40">
        <v>25</v>
      </c>
      <c r="I34" s="41">
        <v>11.6</v>
      </c>
      <c r="J34" s="40">
        <v>12</v>
      </c>
      <c r="K34" s="22">
        <v>1960</v>
      </c>
      <c r="L34" s="41">
        <v>48.3</v>
      </c>
      <c r="M34" s="41">
        <v>77.7</v>
      </c>
      <c r="N34" s="19" t="s">
        <v>392</v>
      </c>
    </row>
    <row r="35" spans="1:14" ht="15" customHeight="1" x14ac:dyDescent="0.2">
      <c r="A35" s="16" t="s">
        <v>402</v>
      </c>
      <c r="B35" s="16" t="s">
        <v>390</v>
      </c>
      <c r="C35" s="16" t="s">
        <v>391</v>
      </c>
      <c r="D35" s="37">
        <v>90</v>
      </c>
      <c r="E35" s="38">
        <v>30.3</v>
      </c>
      <c r="F35" s="38">
        <v>18.7</v>
      </c>
      <c r="G35" s="39">
        <v>86</v>
      </c>
      <c r="H35" s="37">
        <v>21</v>
      </c>
      <c r="I35" s="38">
        <v>27.7</v>
      </c>
      <c r="J35" s="37">
        <v>8</v>
      </c>
      <c r="K35" s="18">
        <v>4984</v>
      </c>
      <c r="L35" s="38">
        <v>73.099999999999994</v>
      </c>
      <c r="M35" s="38">
        <v>88.4</v>
      </c>
      <c r="N35" s="23" t="s">
        <v>387</v>
      </c>
    </row>
    <row r="36" spans="1:14" ht="15" customHeight="1" x14ac:dyDescent="0.2">
      <c r="A36" s="20" t="s">
        <v>402</v>
      </c>
      <c r="B36" s="20" t="s">
        <v>393</v>
      </c>
      <c r="C36" s="20" t="s">
        <v>394</v>
      </c>
      <c r="D36" s="40">
        <v>172</v>
      </c>
      <c r="E36" s="41">
        <v>37.9</v>
      </c>
      <c r="F36" s="41">
        <v>48.4</v>
      </c>
      <c r="G36" s="42">
        <v>69.900000000000006</v>
      </c>
      <c r="H36" s="40">
        <v>16</v>
      </c>
      <c r="I36" s="41">
        <v>21.1</v>
      </c>
      <c r="J36" s="40">
        <v>12</v>
      </c>
      <c r="K36" s="22">
        <v>3970</v>
      </c>
      <c r="L36" s="41">
        <v>53.2</v>
      </c>
      <c r="M36" s="41">
        <v>77.400000000000006</v>
      </c>
      <c r="N36" s="19" t="s">
        <v>392</v>
      </c>
    </row>
    <row r="37" spans="1:14" ht="15" customHeight="1" x14ac:dyDescent="0.2">
      <c r="A37" s="16" t="s">
        <v>402</v>
      </c>
      <c r="B37" s="16" t="s">
        <v>395</v>
      </c>
      <c r="C37" s="16" t="s">
        <v>396</v>
      </c>
      <c r="D37" s="37">
        <v>97</v>
      </c>
      <c r="E37" s="38">
        <v>33.5</v>
      </c>
      <c r="F37" s="38">
        <v>39.4</v>
      </c>
      <c r="G37" s="39">
        <v>70.2</v>
      </c>
      <c r="H37" s="37">
        <v>17</v>
      </c>
      <c r="I37" s="38">
        <v>33.799999999999997</v>
      </c>
      <c r="J37" s="37">
        <v>12</v>
      </c>
      <c r="K37" s="18">
        <v>1414</v>
      </c>
      <c r="L37" s="38">
        <v>77.400000000000006</v>
      </c>
      <c r="M37" s="38">
        <v>91.3</v>
      </c>
      <c r="N37" s="23" t="s">
        <v>387</v>
      </c>
    </row>
    <row r="38" spans="1:14" ht="15" customHeight="1" x14ac:dyDescent="0.2">
      <c r="A38" s="20" t="s">
        <v>403</v>
      </c>
      <c r="B38" s="20" t="s">
        <v>385</v>
      </c>
      <c r="C38" s="20" t="s">
        <v>386</v>
      </c>
      <c r="D38" s="40">
        <v>150</v>
      </c>
      <c r="E38" s="41">
        <v>26.1</v>
      </c>
      <c r="F38" s="41">
        <v>73.099999999999994</v>
      </c>
      <c r="G38" s="42">
        <v>69.7</v>
      </c>
      <c r="H38" s="40">
        <v>10</v>
      </c>
      <c r="I38" s="41">
        <v>11.3</v>
      </c>
      <c r="J38" s="40">
        <v>10</v>
      </c>
      <c r="K38" s="22">
        <v>3859</v>
      </c>
      <c r="L38" s="41">
        <v>77.599999999999994</v>
      </c>
      <c r="M38" s="41">
        <v>108.1</v>
      </c>
      <c r="N38" s="24" t="s">
        <v>389</v>
      </c>
    </row>
    <row r="39" spans="1:14" ht="15" customHeight="1" x14ac:dyDescent="0.2">
      <c r="A39" s="16" t="s">
        <v>403</v>
      </c>
      <c r="B39" s="16" t="s">
        <v>388</v>
      </c>
      <c r="C39" s="16" t="s">
        <v>386</v>
      </c>
      <c r="D39" s="37">
        <v>180</v>
      </c>
      <c r="E39" s="38">
        <v>16.100000000000001</v>
      </c>
      <c r="F39" s="38">
        <v>75.7</v>
      </c>
      <c r="G39" s="39">
        <v>76.2</v>
      </c>
      <c r="H39" s="37">
        <v>8</v>
      </c>
      <c r="I39" s="38">
        <v>24.3</v>
      </c>
      <c r="J39" s="37">
        <v>22</v>
      </c>
      <c r="K39" s="18">
        <v>1929</v>
      </c>
      <c r="L39" s="38">
        <v>68</v>
      </c>
      <c r="M39" s="38">
        <v>100.2</v>
      </c>
      <c r="N39" s="24" t="s">
        <v>389</v>
      </c>
    </row>
    <row r="40" spans="1:14" ht="15" customHeight="1" x14ac:dyDescent="0.2">
      <c r="A40" s="20" t="s">
        <v>403</v>
      </c>
      <c r="B40" s="20" t="s">
        <v>390</v>
      </c>
      <c r="C40" s="20" t="s">
        <v>391</v>
      </c>
      <c r="D40" s="40">
        <v>62</v>
      </c>
      <c r="E40" s="41">
        <v>28.7</v>
      </c>
      <c r="F40" s="41">
        <v>55.8</v>
      </c>
      <c r="G40" s="42">
        <v>76.8</v>
      </c>
      <c r="H40" s="40">
        <v>2</v>
      </c>
      <c r="I40" s="41">
        <v>9.5</v>
      </c>
      <c r="J40" s="40">
        <v>10</v>
      </c>
      <c r="K40" s="22">
        <v>1603</v>
      </c>
      <c r="L40" s="41">
        <v>40.200000000000003</v>
      </c>
      <c r="M40" s="41">
        <v>90.8</v>
      </c>
      <c r="N40" s="23" t="s">
        <v>387</v>
      </c>
    </row>
    <row r="41" spans="1:14" ht="15" customHeight="1" x14ac:dyDescent="0.2">
      <c r="A41" s="16" t="s">
        <v>403</v>
      </c>
      <c r="B41" s="16" t="s">
        <v>393</v>
      </c>
      <c r="C41" s="16" t="s">
        <v>394</v>
      </c>
      <c r="D41" s="37">
        <v>90</v>
      </c>
      <c r="E41" s="38">
        <v>32.6</v>
      </c>
      <c r="F41" s="38">
        <v>61.1</v>
      </c>
      <c r="G41" s="39">
        <v>87.6</v>
      </c>
      <c r="H41" s="37">
        <v>17</v>
      </c>
      <c r="I41" s="38">
        <v>31.4</v>
      </c>
      <c r="J41" s="37">
        <v>10</v>
      </c>
      <c r="K41" s="18">
        <v>2112</v>
      </c>
      <c r="L41" s="38">
        <v>40.200000000000003</v>
      </c>
      <c r="M41" s="38">
        <v>98.7</v>
      </c>
      <c r="N41" s="23" t="s">
        <v>387</v>
      </c>
    </row>
    <row r="42" spans="1:14" ht="15" customHeight="1" x14ac:dyDescent="0.2">
      <c r="A42" s="20" t="s">
        <v>403</v>
      </c>
      <c r="B42" s="20" t="s">
        <v>395</v>
      </c>
      <c r="C42" s="20" t="s">
        <v>396</v>
      </c>
      <c r="D42" s="40">
        <v>177</v>
      </c>
      <c r="E42" s="41">
        <v>38.4</v>
      </c>
      <c r="F42" s="41">
        <v>65.599999999999994</v>
      </c>
      <c r="G42" s="42">
        <v>89</v>
      </c>
      <c r="H42" s="40">
        <v>4</v>
      </c>
      <c r="I42" s="41">
        <v>26.7</v>
      </c>
      <c r="J42" s="40">
        <v>14</v>
      </c>
      <c r="K42" s="22">
        <v>3697</v>
      </c>
      <c r="L42" s="41">
        <v>54.9</v>
      </c>
      <c r="M42" s="41">
        <v>82.5</v>
      </c>
      <c r="N42" s="19" t="s">
        <v>392</v>
      </c>
    </row>
    <row r="43" spans="1:14" ht="15" customHeight="1" x14ac:dyDescent="0.2">
      <c r="A43" s="16" t="s">
        <v>404</v>
      </c>
      <c r="B43" s="16" t="s">
        <v>385</v>
      </c>
      <c r="C43" s="16" t="s">
        <v>386</v>
      </c>
      <c r="D43" s="37">
        <v>117</v>
      </c>
      <c r="E43" s="38">
        <v>37.9</v>
      </c>
      <c r="F43" s="38">
        <v>61.5</v>
      </c>
      <c r="G43" s="39">
        <v>79.7</v>
      </c>
      <c r="H43" s="37">
        <v>11</v>
      </c>
      <c r="I43" s="38">
        <v>13.3</v>
      </c>
      <c r="J43" s="37">
        <v>19</v>
      </c>
      <c r="K43" s="18">
        <v>2934</v>
      </c>
      <c r="L43" s="38">
        <v>41.9</v>
      </c>
      <c r="M43" s="38">
        <v>100</v>
      </c>
      <c r="N43" s="24" t="s">
        <v>389</v>
      </c>
    </row>
    <row r="44" spans="1:14" ht="15" customHeight="1" x14ac:dyDescent="0.2">
      <c r="A44" s="20" t="s">
        <v>404</v>
      </c>
      <c r="B44" s="20" t="s">
        <v>388</v>
      </c>
      <c r="C44" s="20" t="s">
        <v>386</v>
      </c>
      <c r="D44" s="40">
        <v>86</v>
      </c>
      <c r="E44" s="41">
        <v>10.199999999999999</v>
      </c>
      <c r="F44" s="41">
        <v>22.8</v>
      </c>
      <c r="G44" s="42">
        <v>89.1</v>
      </c>
      <c r="H44" s="40">
        <v>6</v>
      </c>
      <c r="I44" s="41">
        <v>30</v>
      </c>
      <c r="J44" s="40">
        <v>11</v>
      </c>
      <c r="K44" s="22">
        <v>3701</v>
      </c>
      <c r="L44" s="41">
        <v>42</v>
      </c>
      <c r="M44" s="41">
        <v>93.2</v>
      </c>
      <c r="N44" s="23" t="s">
        <v>387</v>
      </c>
    </row>
    <row r="45" spans="1:14" ht="15" customHeight="1" x14ac:dyDescent="0.2">
      <c r="A45" s="16" t="s">
        <v>404</v>
      </c>
      <c r="B45" s="16" t="s">
        <v>390</v>
      </c>
      <c r="C45" s="16" t="s">
        <v>391</v>
      </c>
      <c r="D45" s="37">
        <v>71</v>
      </c>
      <c r="E45" s="38">
        <v>10.199999999999999</v>
      </c>
      <c r="F45" s="38">
        <v>73.2</v>
      </c>
      <c r="G45" s="39">
        <v>83.3</v>
      </c>
      <c r="H45" s="37">
        <v>6</v>
      </c>
      <c r="I45" s="38">
        <v>26.9</v>
      </c>
      <c r="J45" s="37">
        <v>11</v>
      </c>
      <c r="K45" s="18">
        <v>5116</v>
      </c>
      <c r="L45" s="38">
        <v>51.3</v>
      </c>
      <c r="M45" s="38">
        <v>87.6</v>
      </c>
      <c r="N45" s="23" t="s">
        <v>387</v>
      </c>
    </row>
    <row r="46" spans="1:14" ht="15" customHeight="1" x14ac:dyDescent="0.2">
      <c r="A46" s="20" t="s">
        <v>404</v>
      </c>
      <c r="B46" s="20" t="s">
        <v>393</v>
      </c>
      <c r="C46" s="20" t="s">
        <v>394</v>
      </c>
      <c r="D46" s="40">
        <v>45</v>
      </c>
      <c r="E46" s="41">
        <v>34.5</v>
      </c>
      <c r="F46" s="41">
        <v>46.8</v>
      </c>
      <c r="G46" s="42">
        <v>87.5</v>
      </c>
      <c r="H46" s="40">
        <v>10</v>
      </c>
      <c r="I46" s="41">
        <v>18.600000000000001</v>
      </c>
      <c r="J46" s="40">
        <v>14</v>
      </c>
      <c r="K46" s="22">
        <v>2340</v>
      </c>
      <c r="L46" s="41">
        <v>66.2</v>
      </c>
      <c r="M46" s="41">
        <v>99.2</v>
      </c>
      <c r="N46" s="23" t="s">
        <v>387</v>
      </c>
    </row>
    <row r="47" spans="1:14" ht="15" customHeight="1" x14ac:dyDescent="0.2">
      <c r="A47" s="16" t="s">
        <v>404</v>
      </c>
      <c r="B47" s="16" t="s">
        <v>395</v>
      </c>
      <c r="C47" s="16" t="s">
        <v>396</v>
      </c>
      <c r="D47" s="37">
        <v>80</v>
      </c>
      <c r="E47" s="38">
        <v>17.399999999999999</v>
      </c>
      <c r="F47" s="38">
        <v>24.8</v>
      </c>
      <c r="G47" s="39">
        <v>93.4</v>
      </c>
      <c r="H47" s="37">
        <v>2</v>
      </c>
      <c r="I47" s="38">
        <v>15.7</v>
      </c>
      <c r="J47" s="37">
        <v>13</v>
      </c>
      <c r="K47" s="18">
        <v>4058</v>
      </c>
      <c r="L47" s="38">
        <v>67.900000000000006</v>
      </c>
      <c r="M47" s="38">
        <v>76.599999999999994</v>
      </c>
      <c r="N47" s="19" t="s">
        <v>392</v>
      </c>
    </row>
    <row r="48" spans="1:14" ht="15" customHeight="1" x14ac:dyDescent="0.2">
      <c r="A48" s="20" t="s">
        <v>405</v>
      </c>
      <c r="B48" s="20" t="s">
        <v>385</v>
      </c>
      <c r="C48" s="20" t="s">
        <v>386</v>
      </c>
      <c r="D48" s="40">
        <v>85</v>
      </c>
      <c r="E48" s="41">
        <v>29.1</v>
      </c>
      <c r="F48" s="41">
        <v>55.9</v>
      </c>
      <c r="G48" s="42">
        <v>94.4</v>
      </c>
      <c r="H48" s="40">
        <v>21</v>
      </c>
      <c r="I48" s="41">
        <v>18.100000000000001</v>
      </c>
      <c r="J48" s="40">
        <v>9</v>
      </c>
      <c r="K48" s="22">
        <v>5228</v>
      </c>
      <c r="L48" s="41">
        <v>54.4</v>
      </c>
      <c r="M48" s="41">
        <v>81</v>
      </c>
      <c r="N48" s="19" t="s">
        <v>392</v>
      </c>
    </row>
    <row r="49" spans="1:14" ht="15" customHeight="1" x14ac:dyDescent="0.2">
      <c r="A49" s="16" t="s">
        <v>405</v>
      </c>
      <c r="B49" s="16" t="s">
        <v>388</v>
      </c>
      <c r="C49" s="16" t="s">
        <v>386</v>
      </c>
      <c r="D49" s="37">
        <v>84</v>
      </c>
      <c r="E49" s="38">
        <v>31.1</v>
      </c>
      <c r="F49" s="38">
        <v>39.5</v>
      </c>
      <c r="G49" s="39">
        <v>68.599999999999994</v>
      </c>
      <c r="H49" s="37">
        <v>14</v>
      </c>
      <c r="I49" s="38">
        <v>15.2</v>
      </c>
      <c r="J49" s="37">
        <v>14</v>
      </c>
      <c r="K49" s="18">
        <v>4478</v>
      </c>
      <c r="L49" s="38">
        <v>49.5</v>
      </c>
      <c r="M49" s="38">
        <v>95.9</v>
      </c>
      <c r="N49" s="23" t="s">
        <v>387</v>
      </c>
    </row>
    <row r="50" spans="1:14" ht="15" customHeight="1" x14ac:dyDescent="0.2">
      <c r="A50" s="20" t="s">
        <v>405</v>
      </c>
      <c r="B50" s="20" t="s">
        <v>390</v>
      </c>
      <c r="C50" s="20" t="s">
        <v>391</v>
      </c>
      <c r="D50" s="40">
        <v>147</v>
      </c>
      <c r="E50" s="41">
        <v>14.6</v>
      </c>
      <c r="F50" s="41">
        <v>77.2</v>
      </c>
      <c r="G50" s="42">
        <v>89</v>
      </c>
      <c r="H50" s="40">
        <v>3</v>
      </c>
      <c r="I50" s="41">
        <v>29.2</v>
      </c>
      <c r="J50" s="40">
        <v>15</v>
      </c>
      <c r="K50" s="22">
        <v>2043</v>
      </c>
      <c r="L50" s="41">
        <v>59.5</v>
      </c>
      <c r="M50" s="41">
        <v>104.3</v>
      </c>
      <c r="N50" s="24" t="s">
        <v>389</v>
      </c>
    </row>
    <row r="51" spans="1:14" ht="15" customHeight="1" x14ac:dyDescent="0.2">
      <c r="A51" s="16" t="s">
        <v>405</v>
      </c>
      <c r="B51" s="16" t="s">
        <v>393</v>
      </c>
      <c r="C51" s="16" t="s">
        <v>394</v>
      </c>
      <c r="D51" s="37">
        <v>160</v>
      </c>
      <c r="E51" s="38">
        <v>35.6</v>
      </c>
      <c r="F51" s="38">
        <v>72.900000000000006</v>
      </c>
      <c r="G51" s="39">
        <v>83.6</v>
      </c>
      <c r="H51" s="37">
        <v>19</v>
      </c>
      <c r="I51" s="38">
        <v>27.3</v>
      </c>
      <c r="J51" s="37">
        <v>8</v>
      </c>
      <c r="K51" s="18">
        <v>3175</v>
      </c>
      <c r="L51" s="38">
        <v>76.900000000000006</v>
      </c>
      <c r="M51" s="38">
        <v>73.900000000000006</v>
      </c>
      <c r="N51" s="19" t="s">
        <v>392</v>
      </c>
    </row>
    <row r="52" spans="1:14" ht="15" customHeight="1" x14ac:dyDescent="0.2">
      <c r="A52" s="20" t="s">
        <v>405</v>
      </c>
      <c r="B52" s="20" t="s">
        <v>395</v>
      </c>
      <c r="C52" s="20" t="s">
        <v>396</v>
      </c>
      <c r="D52" s="40">
        <v>114</v>
      </c>
      <c r="E52" s="41">
        <v>41.3</v>
      </c>
      <c r="F52" s="41">
        <v>17.8</v>
      </c>
      <c r="G52" s="42">
        <v>77.8</v>
      </c>
      <c r="H52" s="40">
        <v>25</v>
      </c>
      <c r="I52" s="41">
        <v>33.1</v>
      </c>
      <c r="J52" s="40">
        <v>14</v>
      </c>
      <c r="K52" s="22">
        <v>2509</v>
      </c>
      <c r="L52" s="41">
        <v>55.6</v>
      </c>
      <c r="M52" s="41">
        <v>80.900000000000006</v>
      </c>
      <c r="N52" s="19" t="s">
        <v>392</v>
      </c>
    </row>
    <row r="53" spans="1:14" ht="15" customHeight="1" x14ac:dyDescent="0.2">
      <c r="A53" s="16" t="s">
        <v>406</v>
      </c>
      <c r="B53" s="16" t="s">
        <v>385</v>
      </c>
      <c r="C53" s="16" t="s">
        <v>386</v>
      </c>
      <c r="D53" s="37">
        <v>145</v>
      </c>
      <c r="E53" s="38">
        <v>10.6</v>
      </c>
      <c r="F53" s="38">
        <v>41.2</v>
      </c>
      <c r="G53" s="39">
        <v>90.5</v>
      </c>
      <c r="H53" s="37">
        <v>25</v>
      </c>
      <c r="I53" s="38">
        <v>10.5</v>
      </c>
      <c r="J53" s="37">
        <v>22</v>
      </c>
      <c r="K53" s="18">
        <v>4664</v>
      </c>
      <c r="L53" s="38">
        <v>46.2</v>
      </c>
      <c r="M53" s="38">
        <v>73.599999999999994</v>
      </c>
      <c r="N53" s="19" t="s">
        <v>392</v>
      </c>
    </row>
    <row r="54" spans="1:14" ht="15" customHeight="1" x14ac:dyDescent="0.2">
      <c r="A54" s="20" t="s">
        <v>406</v>
      </c>
      <c r="B54" s="20" t="s">
        <v>388</v>
      </c>
      <c r="C54" s="20" t="s">
        <v>386</v>
      </c>
      <c r="D54" s="40">
        <v>49</v>
      </c>
      <c r="E54" s="41">
        <v>24.8</v>
      </c>
      <c r="F54" s="41">
        <v>62.1</v>
      </c>
      <c r="G54" s="42">
        <v>85.1</v>
      </c>
      <c r="H54" s="40">
        <v>14</v>
      </c>
      <c r="I54" s="41">
        <v>33.4</v>
      </c>
      <c r="J54" s="40">
        <v>16</v>
      </c>
      <c r="K54" s="22">
        <v>2282</v>
      </c>
      <c r="L54" s="41">
        <v>72.599999999999994</v>
      </c>
      <c r="M54" s="41">
        <v>91.5</v>
      </c>
      <c r="N54" s="23" t="s">
        <v>387</v>
      </c>
    </row>
    <row r="55" spans="1:14" ht="15" customHeight="1" x14ac:dyDescent="0.2">
      <c r="A55" s="16" t="s">
        <v>406</v>
      </c>
      <c r="B55" s="16" t="s">
        <v>390</v>
      </c>
      <c r="C55" s="16" t="s">
        <v>391</v>
      </c>
      <c r="D55" s="37">
        <v>171</v>
      </c>
      <c r="E55" s="38">
        <v>43.9</v>
      </c>
      <c r="F55" s="38">
        <v>53.1</v>
      </c>
      <c r="G55" s="39">
        <v>80.5</v>
      </c>
      <c r="H55" s="37">
        <v>19</v>
      </c>
      <c r="I55" s="38">
        <v>20.6</v>
      </c>
      <c r="J55" s="37">
        <v>16</v>
      </c>
      <c r="K55" s="18">
        <v>1309</v>
      </c>
      <c r="L55" s="38">
        <v>40.4</v>
      </c>
      <c r="M55" s="38">
        <v>106.3</v>
      </c>
      <c r="N55" s="24" t="s">
        <v>389</v>
      </c>
    </row>
    <row r="56" spans="1:14" ht="15" customHeight="1" x14ac:dyDescent="0.2">
      <c r="A56" s="20" t="s">
        <v>406</v>
      </c>
      <c r="B56" s="20" t="s">
        <v>393</v>
      </c>
      <c r="C56" s="20" t="s">
        <v>394</v>
      </c>
      <c r="D56" s="40">
        <v>90</v>
      </c>
      <c r="E56" s="41">
        <v>17.2</v>
      </c>
      <c r="F56" s="41">
        <v>22.4</v>
      </c>
      <c r="G56" s="42">
        <v>79.8</v>
      </c>
      <c r="H56" s="40">
        <v>19</v>
      </c>
      <c r="I56" s="41">
        <v>31.9</v>
      </c>
      <c r="J56" s="40">
        <v>15</v>
      </c>
      <c r="K56" s="22">
        <v>5134</v>
      </c>
      <c r="L56" s="41">
        <v>39.4</v>
      </c>
      <c r="M56" s="41">
        <v>107.6</v>
      </c>
      <c r="N56" s="24" t="s">
        <v>389</v>
      </c>
    </row>
    <row r="57" spans="1:14" ht="15" customHeight="1" x14ac:dyDescent="0.2">
      <c r="A57" s="16" t="s">
        <v>406</v>
      </c>
      <c r="B57" s="16" t="s">
        <v>395</v>
      </c>
      <c r="C57" s="16" t="s">
        <v>396</v>
      </c>
      <c r="D57" s="37">
        <v>96</v>
      </c>
      <c r="E57" s="38">
        <v>18.600000000000001</v>
      </c>
      <c r="F57" s="38">
        <v>67.099999999999994</v>
      </c>
      <c r="G57" s="39">
        <v>82.7</v>
      </c>
      <c r="H57" s="37">
        <v>6</v>
      </c>
      <c r="I57" s="38">
        <v>9.1999999999999993</v>
      </c>
      <c r="J57" s="37">
        <v>20</v>
      </c>
      <c r="K57" s="18">
        <v>1341</v>
      </c>
      <c r="L57" s="38">
        <v>45.1</v>
      </c>
      <c r="M57" s="38">
        <v>74.900000000000006</v>
      </c>
      <c r="N57" s="19" t="s">
        <v>392</v>
      </c>
    </row>
    <row r="58" spans="1:14" ht="15" customHeight="1" x14ac:dyDescent="0.2">
      <c r="A58" s="20" t="s">
        <v>407</v>
      </c>
      <c r="B58" s="20" t="s">
        <v>385</v>
      </c>
      <c r="C58" s="20" t="s">
        <v>386</v>
      </c>
      <c r="D58" s="40">
        <v>88</v>
      </c>
      <c r="E58" s="41">
        <v>33.9</v>
      </c>
      <c r="F58" s="41">
        <v>77.5</v>
      </c>
      <c r="G58" s="42">
        <v>86.7</v>
      </c>
      <c r="H58" s="40">
        <v>17</v>
      </c>
      <c r="I58" s="41">
        <v>4.5999999999999996</v>
      </c>
      <c r="J58" s="40">
        <v>19</v>
      </c>
      <c r="K58" s="22">
        <v>3236</v>
      </c>
      <c r="L58" s="41">
        <v>40.700000000000003</v>
      </c>
      <c r="M58" s="41">
        <v>105.6</v>
      </c>
      <c r="N58" s="24" t="s">
        <v>389</v>
      </c>
    </row>
    <row r="59" spans="1:14" ht="15" customHeight="1" x14ac:dyDescent="0.2">
      <c r="A59" s="16" t="s">
        <v>407</v>
      </c>
      <c r="B59" s="16" t="s">
        <v>388</v>
      </c>
      <c r="C59" s="16" t="s">
        <v>386</v>
      </c>
      <c r="D59" s="37">
        <v>61</v>
      </c>
      <c r="E59" s="38">
        <v>34.799999999999997</v>
      </c>
      <c r="F59" s="38">
        <v>19.3</v>
      </c>
      <c r="G59" s="39">
        <v>82.8</v>
      </c>
      <c r="H59" s="37">
        <v>7</v>
      </c>
      <c r="I59" s="38">
        <v>10.5</v>
      </c>
      <c r="J59" s="37">
        <v>22</v>
      </c>
      <c r="K59" s="18">
        <v>1663</v>
      </c>
      <c r="L59" s="38">
        <v>67.3</v>
      </c>
      <c r="M59" s="38">
        <v>88.4</v>
      </c>
      <c r="N59" s="23" t="s">
        <v>387</v>
      </c>
    </row>
    <row r="60" spans="1:14" ht="15" customHeight="1" x14ac:dyDescent="0.2">
      <c r="A60" s="20" t="s">
        <v>407</v>
      </c>
      <c r="B60" s="20" t="s">
        <v>390</v>
      </c>
      <c r="C60" s="20" t="s">
        <v>391</v>
      </c>
      <c r="D60" s="40">
        <v>97</v>
      </c>
      <c r="E60" s="41">
        <v>34.799999999999997</v>
      </c>
      <c r="F60" s="41">
        <v>72.7</v>
      </c>
      <c r="G60" s="42">
        <v>87</v>
      </c>
      <c r="H60" s="40">
        <v>12</v>
      </c>
      <c r="I60" s="41">
        <v>9</v>
      </c>
      <c r="J60" s="40">
        <v>18</v>
      </c>
      <c r="K60" s="22">
        <v>2636</v>
      </c>
      <c r="L60" s="41">
        <v>73.3</v>
      </c>
      <c r="M60" s="41">
        <v>108.1</v>
      </c>
      <c r="N60" s="24" t="s">
        <v>389</v>
      </c>
    </row>
    <row r="61" spans="1:14" ht="15" customHeight="1" x14ac:dyDescent="0.2">
      <c r="A61" s="16" t="s">
        <v>407</v>
      </c>
      <c r="B61" s="16" t="s">
        <v>393</v>
      </c>
      <c r="C61" s="16" t="s">
        <v>394</v>
      </c>
      <c r="D61" s="37">
        <v>178</v>
      </c>
      <c r="E61" s="38">
        <v>42.7</v>
      </c>
      <c r="F61" s="38">
        <v>60.6</v>
      </c>
      <c r="G61" s="39">
        <v>90.2</v>
      </c>
      <c r="H61" s="37">
        <v>24</v>
      </c>
      <c r="I61" s="38">
        <v>6.9</v>
      </c>
      <c r="J61" s="37">
        <v>19</v>
      </c>
      <c r="K61" s="18">
        <v>4719</v>
      </c>
      <c r="L61" s="38">
        <v>58.5</v>
      </c>
      <c r="M61" s="38">
        <v>79.3</v>
      </c>
      <c r="N61" s="19" t="s">
        <v>392</v>
      </c>
    </row>
    <row r="62" spans="1:14" ht="15" customHeight="1" x14ac:dyDescent="0.2">
      <c r="A62" s="20" t="s">
        <v>407</v>
      </c>
      <c r="B62" s="20" t="s">
        <v>395</v>
      </c>
      <c r="C62" s="20" t="s">
        <v>396</v>
      </c>
      <c r="D62" s="40">
        <v>150</v>
      </c>
      <c r="E62" s="41">
        <v>17.5</v>
      </c>
      <c r="F62" s="41">
        <v>35.1</v>
      </c>
      <c r="G62" s="42">
        <v>80.599999999999994</v>
      </c>
      <c r="H62" s="40">
        <v>2</v>
      </c>
      <c r="I62" s="41">
        <v>7.9</v>
      </c>
      <c r="J62" s="40">
        <v>15</v>
      </c>
      <c r="K62" s="22">
        <v>4947</v>
      </c>
      <c r="L62" s="41">
        <v>47.4</v>
      </c>
      <c r="M62" s="41">
        <v>100.9</v>
      </c>
      <c r="N62" s="24" t="s">
        <v>389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2"/>
  <sheetViews>
    <sheetView zoomScaleNormal="100" workbookViewId="0">
      <pane ySplit="2" topLeftCell="A3" activePane="bottomLeft" state="frozen"/>
      <selection pane="bottomLeft" sqref="A1:K1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8" customWidth="1"/>
    <col min="4" max="4" width="13" customWidth="1"/>
    <col min="5" max="5" width="18" customWidth="1"/>
    <col min="6" max="6" width="14" customWidth="1"/>
    <col min="7" max="7" width="12" customWidth="1"/>
    <col min="8" max="8" width="16" customWidth="1"/>
    <col min="9" max="9" width="10" customWidth="1"/>
    <col min="10" max="10" width="14" customWidth="1"/>
    <col min="11" max="11" width="12" customWidth="1"/>
    <col min="12" max="12" width="30" customWidth="1"/>
  </cols>
  <sheetData>
    <row r="1" spans="1:12" ht="25.5" customHeight="1" x14ac:dyDescent="0.2">
      <c r="A1" s="2" t="s">
        <v>408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 ht="36" customHeight="1" x14ac:dyDescent="0.2">
      <c r="A2" s="43" t="s">
        <v>409</v>
      </c>
      <c r="B2" s="43" t="s">
        <v>212</v>
      </c>
      <c r="C2" s="43" t="s">
        <v>410</v>
      </c>
      <c r="D2" s="43" t="s">
        <v>411</v>
      </c>
      <c r="E2" s="43" t="s">
        <v>412</v>
      </c>
      <c r="F2" s="43" t="s">
        <v>413</v>
      </c>
      <c r="G2" s="43" t="s">
        <v>414</v>
      </c>
      <c r="H2" s="43" t="s">
        <v>415</v>
      </c>
      <c r="I2" s="43" t="s">
        <v>213</v>
      </c>
      <c r="J2" s="43" t="s">
        <v>416</v>
      </c>
      <c r="K2" s="43" t="s">
        <v>417</v>
      </c>
      <c r="L2" s="43" t="s">
        <v>418</v>
      </c>
    </row>
    <row r="3" spans="1:12" ht="15" customHeight="1" x14ac:dyDescent="0.2">
      <c r="A3" s="16" t="s">
        <v>419</v>
      </c>
      <c r="B3" s="16" t="s">
        <v>187</v>
      </c>
      <c r="C3" s="16" t="s">
        <v>420</v>
      </c>
      <c r="D3" s="17" t="s">
        <v>421</v>
      </c>
      <c r="E3" s="17" t="s">
        <v>422</v>
      </c>
      <c r="F3" s="18">
        <v>30743</v>
      </c>
      <c r="G3" s="16" t="s">
        <v>423</v>
      </c>
      <c r="H3" s="17" t="s">
        <v>424</v>
      </c>
      <c r="I3" s="16" t="s">
        <v>425</v>
      </c>
      <c r="J3" s="16" t="s">
        <v>426</v>
      </c>
      <c r="K3" s="16" t="s">
        <v>427</v>
      </c>
      <c r="L3" s="17"/>
    </row>
    <row r="4" spans="1:12" ht="15" customHeight="1" x14ac:dyDescent="0.2">
      <c r="A4" s="20" t="s">
        <v>428</v>
      </c>
      <c r="B4" s="20" t="s">
        <v>73</v>
      </c>
      <c r="C4" s="20" t="s">
        <v>429</v>
      </c>
      <c r="D4" s="21" t="s">
        <v>430</v>
      </c>
      <c r="E4" s="21" t="s">
        <v>431</v>
      </c>
      <c r="F4" s="22">
        <v>37065</v>
      </c>
      <c r="G4" s="20" t="s">
        <v>423</v>
      </c>
      <c r="H4" s="21" t="s">
        <v>432</v>
      </c>
      <c r="I4" s="20" t="s">
        <v>433</v>
      </c>
      <c r="J4" s="20" t="s">
        <v>426</v>
      </c>
      <c r="K4" s="20" t="s">
        <v>427</v>
      </c>
      <c r="L4" s="21"/>
    </row>
    <row r="5" spans="1:12" ht="15" customHeight="1" x14ac:dyDescent="0.2">
      <c r="A5" s="16" t="s">
        <v>434</v>
      </c>
      <c r="B5" s="16" t="s">
        <v>86</v>
      </c>
      <c r="C5" s="16" t="s">
        <v>435</v>
      </c>
      <c r="D5" s="17" t="s">
        <v>436</v>
      </c>
      <c r="E5" s="17" t="s">
        <v>422</v>
      </c>
      <c r="F5" s="18">
        <v>30823</v>
      </c>
      <c r="G5" s="16" t="s">
        <v>423</v>
      </c>
      <c r="H5" s="17" t="s">
        <v>437</v>
      </c>
      <c r="I5" s="16" t="s">
        <v>438</v>
      </c>
      <c r="J5" s="16" t="s">
        <v>426</v>
      </c>
      <c r="K5" s="16" t="s">
        <v>427</v>
      </c>
      <c r="L5" s="17"/>
    </row>
    <row r="6" spans="1:12" ht="15" customHeight="1" x14ac:dyDescent="0.2">
      <c r="A6" s="20" t="s">
        <v>439</v>
      </c>
      <c r="B6" s="20" t="s">
        <v>165</v>
      </c>
      <c r="C6" s="20" t="s">
        <v>440</v>
      </c>
      <c r="D6" s="21" t="s">
        <v>441</v>
      </c>
      <c r="E6" s="21" t="s">
        <v>442</v>
      </c>
      <c r="F6" s="22">
        <v>43773</v>
      </c>
      <c r="G6" s="20" t="s">
        <v>423</v>
      </c>
      <c r="H6" s="21" t="s">
        <v>443</v>
      </c>
      <c r="I6" s="20" t="s">
        <v>438</v>
      </c>
      <c r="J6" s="20" t="s">
        <v>426</v>
      </c>
      <c r="K6" s="20" t="s">
        <v>427</v>
      </c>
      <c r="L6" s="21"/>
    </row>
    <row r="7" spans="1:12" ht="15" customHeight="1" x14ac:dyDescent="0.2">
      <c r="A7" s="16" t="s">
        <v>444</v>
      </c>
      <c r="B7" s="16" t="s">
        <v>65</v>
      </c>
      <c r="C7" s="16" t="s">
        <v>445</v>
      </c>
      <c r="D7" s="17" t="s">
        <v>446</v>
      </c>
      <c r="E7" s="17" t="s">
        <v>447</v>
      </c>
      <c r="F7" s="18">
        <v>28380</v>
      </c>
      <c r="G7" s="16" t="s">
        <v>423</v>
      </c>
      <c r="H7" s="17" t="s">
        <v>448</v>
      </c>
      <c r="I7" s="16" t="s">
        <v>449</v>
      </c>
      <c r="J7" s="16" t="s">
        <v>426</v>
      </c>
      <c r="K7" s="16" t="s">
        <v>427</v>
      </c>
      <c r="L7" s="17"/>
    </row>
    <row r="8" spans="1:12" ht="15" customHeight="1" x14ac:dyDescent="0.2">
      <c r="A8" s="20" t="s">
        <v>450</v>
      </c>
      <c r="B8" s="20" t="s">
        <v>324</v>
      </c>
      <c r="C8" s="20" t="s">
        <v>451</v>
      </c>
      <c r="D8" s="21" t="s">
        <v>452</v>
      </c>
      <c r="E8" s="21" t="s">
        <v>447</v>
      </c>
      <c r="F8" s="22">
        <v>4130</v>
      </c>
      <c r="G8" s="20" t="s">
        <v>423</v>
      </c>
      <c r="H8" s="21" t="s">
        <v>453</v>
      </c>
      <c r="I8" s="20" t="s">
        <v>425</v>
      </c>
      <c r="J8" s="20" t="s">
        <v>426</v>
      </c>
      <c r="K8" s="20" t="s">
        <v>427</v>
      </c>
      <c r="L8" s="21"/>
    </row>
    <row r="9" spans="1:12" ht="15" customHeight="1" x14ac:dyDescent="0.2">
      <c r="A9" s="16" t="s">
        <v>454</v>
      </c>
      <c r="B9" s="16" t="s">
        <v>455</v>
      </c>
      <c r="C9" s="16" t="s">
        <v>456</v>
      </c>
      <c r="D9" s="17" t="s">
        <v>457</v>
      </c>
      <c r="E9" s="17" t="s">
        <v>431</v>
      </c>
      <c r="F9" s="18">
        <v>48901</v>
      </c>
      <c r="G9" s="16" t="s">
        <v>423</v>
      </c>
      <c r="H9" s="17" t="s">
        <v>458</v>
      </c>
      <c r="I9" s="16" t="s">
        <v>425</v>
      </c>
      <c r="J9" s="16" t="s">
        <v>426</v>
      </c>
      <c r="K9" s="16" t="s">
        <v>427</v>
      </c>
      <c r="L9" s="17"/>
    </row>
    <row r="10" spans="1:12" ht="15" customHeight="1" x14ac:dyDescent="0.2">
      <c r="A10" s="20" t="s">
        <v>459</v>
      </c>
      <c r="B10" s="20" t="s">
        <v>65</v>
      </c>
      <c r="C10" s="20" t="s">
        <v>460</v>
      </c>
      <c r="D10" s="21" t="s">
        <v>461</v>
      </c>
      <c r="E10" s="21" t="s">
        <v>442</v>
      </c>
      <c r="F10" s="22">
        <v>27361</v>
      </c>
      <c r="G10" s="20" t="s">
        <v>423</v>
      </c>
      <c r="H10" s="21" t="s">
        <v>462</v>
      </c>
      <c r="I10" s="20" t="s">
        <v>425</v>
      </c>
      <c r="J10" s="20" t="s">
        <v>426</v>
      </c>
      <c r="K10" s="20" t="s">
        <v>427</v>
      </c>
      <c r="L10" s="21"/>
    </row>
    <row r="11" spans="1:12" ht="15" customHeight="1" x14ac:dyDescent="0.2">
      <c r="A11" s="16" t="s">
        <v>463</v>
      </c>
      <c r="B11" s="16" t="s">
        <v>297</v>
      </c>
      <c r="C11" s="16" t="s">
        <v>464</v>
      </c>
      <c r="D11" s="17" t="s">
        <v>465</v>
      </c>
      <c r="E11" s="17" t="s">
        <v>466</v>
      </c>
      <c r="F11" s="18">
        <v>24204</v>
      </c>
      <c r="G11" s="16" t="s">
        <v>423</v>
      </c>
      <c r="H11" s="17" t="s">
        <v>467</v>
      </c>
      <c r="I11" s="16" t="s">
        <v>449</v>
      </c>
      <c r="J11" s="16" t="s">
        <v>426</v>
      </c>
      <c r="K11" s="16" t="s">
        <v>427</v>
      </c>
      <c r="L11" s="17"/>
    </row>
    <row r="12" spans="1:12" ht="15" customHeight="1" x14ac:dyDescent="0.2">
      <c r="A12" s="20" t="s">
        <v>468</v>
      </c>
      <c r="B12" s="20" t="s">
        <v>469</v>
      </c>
      <c r="C12" s="20" t="s">
        <v>470</v>
      </c>
      <c r="D12" s="21" t="s">
        <v>471</v>
      </c>
      <c r="E12" s="21" t="s">
        <v>472</v>
      </c>
      <c r="F12" s="22">
        <v>25205</v>
      </c>
      <c r="G12" s="20" t="s">
        <v>423</v>
      </c>
      <c r="H12" s="21" t="s">
        <v>473</v>
      </c>
      <c r="I12" s="20" t="s">
        <v>425</v>
      </c>
      <c r="J12" s="20" t="s">
        <v>426</v>
      </c>
      <c r="K12" s="20" t="s">
        <v>427</v>
      </c>
      <c r="L12" s="21"/>
    </row>
    <row r="13" spans="1:12" ht="15" customHeight="1" x14ac:dyDescent="0.2">
      <c r="A13" s="16" t="s">
        <v>474</v>
      </c>
      <c r="B13" s="16" t="s">
        <v>475</v>
      </c>
      <c r="C13" s="16" t="s">
        <v>476</v>
      </c>
      <c r="D13" s="17" t="s">
        <v>477</v>
      </c>
      <c r="E13" s="17" t="s">
        <v>478</v>
      </c>
      <c r="F13" s="18">
        <v>2963</v>
      </c>
      <c r="G13" s="16" t="s">
        <v>423</v>
      </c>
      <c r="H13" s="17" t="s">
        <v>479</v>
      </c>
      <c r="I13" s="16" t="s">
        <v>425</v>
      </c>
      <c r="J13" s="16" t="s">
        <v>426</v>
      </c>
      <c r="K13" s="16" t="s">
        <v>427</v>
      </c>
      <c r="L13" s="17"/>
    </row>
    <row r="14" spans="1:12" ht="15" customHeight="1" x14ac:dyDescent="0.2">
      <c r="A14" s="20" t="s">
        <v>480</v>
      </c>
      <c r="B14" s="20" t="s">
        <v>481</v>
      </c>
      <c r="C14" s="20" t="s">
        <v>482</v>
      </c>
      <c r="D14" s="21" t="s">
        <v>483</v>
      </c>
      <c r="E14" s="21" t="s">
        <v>422</v>
      </c>
      <c r="F14" s="22">
        <v>7430</v>
      </c>
      <c r="G14" s="20" t="s">
        <v>423</v>
      </c>
      <c r="H14" s="21" t="s">
        <v>484</v>
      </c>
      <c r="I14" s="20" t="s">
        <v>433</v>
      </c>
      <c r="J14" s="20" t="s">
        <v>426</v>
      </c>
      <c r="K14" s="20" t="s">
        <v>427</v>
      </c>
      <c r="L14" s="21"/>
    </row>
    <row r="15" spans="1:12" ht="15" customHeight="1" x14ac:dyDescent="0.2">
      <c r="A15" s="16" t="s">
        <v>485</v>
      </c>
      <c r="B15" s="16" t="s">
        <v>317</v>
      </c>
      <c r="C15" s="16" t="s">
        <v>486</v>
      </c>
      <c r="D15" s="17" t="s">
        <v>487</v>
      </c>
      <c r="E15" s="17" t="s">
        <v>478</v>
      </c>
      <c r="F15" s="18">
        <v>28097</v>
      </c>
      <c r="G15" s="16" t="s">
        <v>423</v>
      </c>
      <c r="H15" s="17" t="s">
        <v>488</v>
      </c>
      <c r="I15" s="16" t="s">
        <v>286</v>
      </c>
      <c r="J15" s="16" t="s">
        <v>426</v>
      </c>
      <c r="K15" s="16" t="s">
        <v>427</v>
      </c>
      <c r="L15" s="17"/>
    </row>
    <row r="16" spans="1:12" ht="15" customHeight="1" x14ac:dyDescent="0.2">
      <c r="A16" s="20" t="s">
        <v>489</v>
      </c>
      <c r="B16" s="20" t="s">
        <v>469</v>
      </c>
      <c r="C16" s="20" t="s">
        <v>490</v>
      </c>
      <c r="D16" s="21" t="s">
        <v>491</v>
      </c>
      <c r="E16" s="21" t="s">
        <v>442</v>
      </c>
      <c r="F16" s="22">
        <v>28740</v>
      </c>
      <c r="G16" s="20" t="s">
        <v>423</v>
      </c>
      <c r="H16" s="21" t="s">
        <v>492</v>
      </c>
      <c r="I16" s="20" t="s">
        <v>433</v>
      </c>
      <c r="J16" s="20" t="s">
        <v>426</v>
      </c>
      <c r="K16" s="20" t="s">
        <v>427</v>
      </c>
      <c r="L16" s="21"/>
    </row>
    <row r="17" spans="1:12" ht="15" customHeight="1" x14ac:dyDescent="0.2">
      <c r="A17" s="16" t="s">
        <v>493</v>
      </c>
      <c r="B17" s="16" t="s">
        <v>77</v>
      </c>
      <c r="C17" s="16" t="s">
        <v>494</v>
      </c>
      <c r="D17" s="17" t="s">
        <v>495</v>
      </c>
      <c r="E17" s="17" t="s">
        <v>292</v>
      </c>
      <c r="F17" s="18">
        <v>25392</v>
      </c>
      <c r="G17" s="16" t="s">
        <v>423</v>
      </c>
      <c r="H17" s="17" t="s">
        <v>496</v>
      </c>
      <c r="I17" s="16" t="s">
        <v>425</v>
      </c>
      <c r="J17" s="16" t="s">
        <v>426</v>
      </c>
      <c r="K17" s="16" t="s">
        <v>427</v>
      </c>
      <c r="L17" s="17"/>
    </row>
    <row r="18" spans="1:12" ht="15" customHeight="1" x14ac:dyDescent="0.2">
      <c r="A18" s="20" t="s">
        <v>497</v>
      </c>
      <c r="B18" s="20" t="s">
        <v>498</v>
      </c>
      <c r="C18" s="20" t="s">
        <v>499</v>
      </c>
      <c r="D18" s="21" t="s">
        <v>500</v>
      </c>
      <c r="E18" s="21" t="s">
        <v>422</v>
      </c>
      <c r="F18" s="22">
        <v>42447</v>
      </c>
      <c r="G18" s="20" t="s">
        <v>423</v>
      </c>
      <c r="H18" s="21" t="s">
        <v>501</v>
      </c>
      <c r="I18" s="20" t="s">
        <v>425</v>
      </c>
      <c r="J18" s="20" t="s">
        <v>426</v>
      </c>
      <c r="K18" s="20" t="s">
        <v>427</v>
      </c>
      <c r="L18" s="21"/>
    </row>
    <row r="19" spans="1:12" ht="15" customHeight="1" x14ac:dyDescent="0.2">
      <c r="A19" s="16" t="s">
        <v>502</v>
      </c>
      <c r="B19" s="16" t="s">
        <v>187</v>
      </c>
      <c r="C19" s="16" t="s">
        <v>503</v>
      </c>
      <c r="D19" s="17" t="s">
        <v>504</v>
      </c>
      <c r="E19" s="17" t="s">
        <v>447</v>
      </c>
      <c r="F19" s="18">
        <v>7861</v>
      </c>
      <c r="G19" s="16" t="s">
        <v>505</v>
      </c>
      <c r="H19" s="17" t="s">
        <v>506</v>
      </c>
      <c r="I19" s="16" t="s">
        <v>449</v>
      </c>
      <c r="J19" s="16" t="s">
        <v>507</v>
      </c>
      <c r="K19" s="16" t="s">
        <v>427</v>
      </c>
      <c r="L19" s="17"/>
    </row>
    <row r="20" spans="1:12" ht="15" customHeight="1" x14ac:dyDescent="0.2">
      <c r="A20" s="20" t="s">
        <v>508</v>
      </c>
      <c r="B20" s="20" t="s">
        <v>184</v>
      </c>
      <c r="C20" s="20" t="s">
        <v>509</v>
      </c>
      <c r="D20" s="21" t="s">
        <v>510</v>
      </c>
      <c r="E20" s="21" t="s">
        <v>422</v>
      </c>
      <c r="F20" s="22">
        <v>49558</v>
      </c>
      <c r="G20" s="20" t="s">
        <v>423</v>
      </c>
      <c r="H20" s="21" t="s">
        <v>511</v>
      </c>
      <c r="I20" s="20" t="s">
        <v>433</v>
      </c>
      <c r="J20" s="20" t="s">
        <v>426</v>
      </c>
      <c r="K20" s="20" t="s">
        <v>427</v>
      </c>
      <c r="L20" s="21"/>
    </row>
    <row r="21" spans="1:12" ht="15" customHeight="1" x14ac:dyDescent="0.2">
      <c r="A21" s="16" t="s">
        <v>512</v>
      </c>
      <c r="B21" s="16" t="s">
        <v>297</v>
      </c>
      <c r="C21" s="16" t="s">
        <v>513</v>
      </c>
      <c r="D21" s="17" t="s">
        <v>514</v>
      </c>
      <c r="E21" s="17" t="s">
        <v>478</v>
      </c>
      <c r="F21" s="18">
        <v>5452</v>
      </c>
      <c r="G21" s="16" t="s">
        <v>505</v>
      </c>
      <c r="H21" s="17" t="s">
        <v>515</v>
      </c>
      <c r="I21" s="16" t="s">
        <v>433</v>
      </c>
      <c r="J21" s="16" t="s">
        <v>516</v>
      </c>
      <c r="K21" s="16" t="s">
        <v>427</v>
      </c>
      <c r="L21" s="17"/>
    </row>
    <row r="22" spans="1:12" ht="15" customHeight="1" x14ac:dyDescent="0.2">
      <c r="A22" s="20" t="s">
        <v>517</v>
      </c>
      <c r="B22" s="20" t="s">
        <v>518</v>
      </c>
      <c r="C22" s="20" t="s">
        <v>519</v>
      </c>
      <c r="D22" s="21" t="s">
        <v>520</v>
      </c>
      <c r="E22" s="21" t="s">
        <v>466</v>
      </c>
      <c r="F22" s="22">
        <v>7060</v>
      </c>
      <c r="G22" s="20" t="s">
        <v>423</v>
      </c>
      <c r="H22" s="21" t="s">
        <v>521</v>
      </c>
      <c r="I22" s="20" t="s">
        <v>425</v>
      </c>
      <c r="J22" s="20" t="s">
        <v>426</v>
      </c>
      <c r="K22" s="20" t="s">
        <v>427</v>
      </c>
      <c r="L22" s="21"/>
    </row>
    <row r="23" spans="1:12" ht="15" customHeight="1" x14ac:dyDescent="0.2">
      <c r="A23" s="16" t="s">
        <v>522</v>
      </c>
      <c r="B23" s="16" t="s">
        <v>356</v>
      </c>
      <c r="C23" s="16" t="s">
        <v>523</v>
      </c>
      <c r="D23" s="17" t="s">
        <v>524</v>
      </c>
      <c r="E23" s="17" t="s">
        <v>442</v>
      </c>
      <c r="F23" s="18">
        <v>29765</v>
      </c>
      <c r="G23" s="16" t="s">
        <v>423</v>
      </c>
      <c r="H23" s="17" t="s">
        <v>525</v>
      </c>
      <c r="I23" s="16" t="s">
        <v>425</v>
      </c>
      <c r="J23" s="16" t="s">
        <v>426</v>
      </c>
      <c r="K23" s="16" t="s">
        <v>427</v>
      </c>
      <c r="L23" s="17"/>
    </row>
    <row r="24" spans="1:12" ht="15" customHeight="1" x14ac:dyDescent="0.2">
      <c r="A24" s="20" t="s">
        <v>526</v>
      </c>
      <c r="B24" s="20" t="s">
        <v>127</v>
      </c>
      <c r="C24" s="20" t="s">
        <v>527</v>
      </c>
      <c r="D24" s="21" t="s">
        <v>528</v>
      </c>
      <c r="E24" s="21" t="s">
        <v>466</v>
      </c>
      <c r="F24" s="22">
        <v>38030</v>
      </c>
      <c r="G24" s="20" t="s">
        <v>423</v>
      </c>
      <c r="H24" s="21" t="s">
        <v>529</v>
      </c>
      <c r="I24" s="20" t="s">
        <v>286</v>
      </c>
      <c r="J24" s="20" t="s">
        <v>426</v>
      </c>
      <c r="K24" s="20" t="s">
        <v>427</v>
      </c>
      <c r="L24" s="21"/>
    </row>
    <row r="25" spans="1:12" ht="15" customHeight="1" x14ac:dyDescent="0.2">
      <c r="A25" s="44" t="s">
        <v>530</v>
      </c>
      <c r="B25" s="44" t="s">
        <v>475</v>
      </c>
      <c r="C25" s="44" t="s">
        <v>531</v>
      </c>
      <c r="D25" s="45" t="s">
        <v>532</v>
      </c>
      <c r="E25" s="45" t="s">
        <v>478</v>
      </c>
      <c r="F25" s="46">
        <v>35138</v>
      </c>
      <c r="G25" s="44" t="s">
        <v>423</v>
      </c>
      <c r="H25" s="45" t="s">
        <v>533</v>
      </c>
      <c r="I25" s="44" t="s">
        <v>438</v>
      </c>
      <c r="J25" s="44" t="s">
        <v>426</v>
      </c>
      <c r="K25" s="19" t="s">
        <v>534</v>
      </c>
      <c r="L25" s="45" t="s">
        <v>535</v>
      </c>
    </row>
    <row r="26" spans="1:12" ht="15" customHeight="1" x14ac:dyDescent="0.2">
      <c r="A26" s="20" t="s">
        <v>536</v>
      </c>
      <c r="B26" s="20" t="s">
        <v>537</v>
      </c>
      <c r="C26" s="20" t="s">
        <v>538</v>
      </c>
      <c r="D26" s="21" t="s">
        <v>539</v>
      </c>
      <c r="E26" s="21" t="s">
        <v>431</v>
      </c>
      <c r="F26" s="22">
        <v>45105</v>
      </c>
      <c r="G26" s="20" t="s">
        <v>540</v>
      </c>
      <c r="H26" s="21" t="s">
        <v>541</v>
      </c>
      <c r="I26" s="20" t="s">
        <v>438</v>
      </c>
      <c r="J26" s="20" t="s">
        <v>542</v>
      </c>
      <c r="K26" s="20" t="s">
        <v>427</v>
      </c>
      <c r="L26" s="21"/>
    </row>
    <row r="27" spans="1:12" ht="15" customHeight="1" x14ac:dyDescent="0.2">
      <c r="A27" s="16" t="s">
        <v>543</v>
      </c>
      <c r="B27" s="16" t="s">
        <v>184</v>
      </c>
      <c r="C27" s="16" t="s">
        <v>544</v>
      </c>
      <c r="D27" s="17" t="s">
        <v>545</v>
      </c>
      <c r="E27" s="17" t="s">
        <v>442</v>
      </c>
      <c r="F27" s="18">
        <v>3612</v>
      </c>
      <c r="G27" s="16" t="s">
        <v>423</v>
      </c>
      <c r="H27" s="17" t="s">
        <v>546</v>
      </c>
      <c r="I27" s="16" t="s">
        <v>438</v>
      </c>
      <c r="J27" s="16" t="s">
        <v>426</v>
      </c>
      <c r="K27" s="16" t="s">
        <v>427</v>
      </c>
      <c r="L27" s="17"/>
    </row>
    <row r="28" spans="1:12" ht="15" customHeight="1" x14ac:dyDescent="0.2">
      <c r="A28" s="20" t="s">
        <v>547</v>
      </c>
      <c r="B28" s="20" t="s">
        <v>350</v>
      </c>
      <c r="C28" s="20" t="s">
        <v>548</v>
      </c>
      <c r="D28" s="21" t="s">
        <v>549</v>
      </c>
      <c r="E28" s="21" t="s">
        <v>442</v>
      </c>
      <c r="F28" s="22">
        <v>4268</v>
      </c>
      <c r="G28" s="20" t="s">
        <v>423</v>
      </c>
      <c r="H28" s="21" t="s">
        <v>550</v>
      </c>
      <c r="I28" s="20" t="s">
        <v>286</v>
      </c>
      <c r="J28" s="20" t="s">
        <v>426</v>
      </c>
      <c r="K28" s="20" t="s">
        <v>427</v>
      </c>
      <c r="L28" s="21"/>
    </row>
    <row r="29" spans="1:12" ht="15" customHeight="1" x14ac:dyDescent="0.2">
      <c r="A29" s="16" t="s">
        <v>551</v>
      </c>
      <c r="B29" s="16" t="s">
        <v>356</v>
      </c>
      <c r="C29" s="16" t="s">
        <v>552</v>
      </c>
      <c r="D29" s="17" t="s">
        <v>553</v>
      </c>
      <c r="E29" s="17" t="s">
        <v>466</v>
      </c>
      <c r="F29" s="18">
        <v>43546</v>
      </c>
      <c r="G29" s="16" t="s">
        <v>423</v>
      </c>
      <c r="H29" s="17" t="s">
        <v>554</v>
      </c>
      <c r="I29" s="16" t="s">
        <v>433</v>
      </c>
      <c r="J29" s="16" t="s">
        <v>426</v>
      </c>
      <c r="K29" s="16" t="s">
        <v>427</v>
      </c>
      <c r="L29" s="17"/>
    </row>
    <row r="30" spans="1:12" ht="15" customHeight="1" x14ac:dyDescent="0.2">
      <c r="A30" s="20" t="s">
        <v>555</v>
      </c>
      <c r="B30" s="20" t="s">
        <v>127</v>
      </c>
      <c r="C30" s="20" t="s">
        <v>556</v>
      </c>
      <c r="D30" s="21" t="s">
        <v>557</v>
      </c>
      <c r="E30" s="21" t="s">
        <v>478</v>
      </c>
      <c r="F30" s="22">
        <v>47997</v>
      </c>
      <c r="G30" s="20" t="s">
        <v>423</v>
      </c>
      <c r="H30" s="21" t="s">
        <v>558</v>
      </c>
      <c r="I30" s="20" t="s">
        <v>449</v>
      </c>
      <c r="J30" s="20" t="s">
        <v>426</v>
      </c>
      <c r="K30" s="20" t="s">
        <v>427</v>
      </c>
      <c r="L30" s="21"/>
    </row>
    <row r="31" spans="1:12" ht="15" customHeight="1" x14ac:dyDescent="0.2">
      <c r="A31" s="16" t="s">
        <v>559</v>
      </c>
      <c r="B31" s="16" t="s">
        <v>560</v>
      </c>
      <c r="C31" s="16" t="s">
        <v>561</v>
      </c>
      <c r="D31" s="17" t="s">
        <v>562</v>
      </c>
      <c r="E31" s="17" t="s">
        <v>447</v>
      </c>
      <c r="F31" s="18">
        <v>23693</v>
      </c>
      <c r="G31" s="16" t="s">
        <v>423</v>
      </c>
      <c r="H31" s="17" t="s">
        <v>563</v>
      </c>
      <c r="I31" s="16" t="s">
        <v>425</v>
      </c>
      <c r="J31" s="16" t="s">
        <v>426</v>
      </c>
      <c r="K31" s="16" t="s">
        <v>427</v>
      </c>
      <c r="L31" s="17"/>
    </row>
    <row r="32" spans="1:12" ht="15" customHeight="1" x14ac:dyDescent="0.2">
      <c r="A32" s="20" t="s">
        <v>564</v>
      </c>
      <c r="B32" s="20" t="s">
        <v>223</v>
      </c>
      <c r="C32" s="20" t="s">
        <v>565</v>
      </c>
      <c r="D32" s="21" t="s">
        <v>566</v>
      </c>
      <c r="E32" s="21" t="s">
        <v>447</v>
      </c>
      <c r="F32" s="22">
        <v>20650</v>
      </c>
      <c r="G32" s="20" t="s">
        <v>423</v>
      </c>
      <c r="H32" s="21" t="s">
        <v>567</v>
      </c>
      <c r="I32" s="20" t="s">
        <v>425</v>
      </c>
      <c r="J32" s="20" t="s">
        <v>426</v>
      </c>
      <c r="K32" s="20" t="s">
        <v>427</v>
      </c>
      <c r="L32" s="21"/>
    </row>
    <row r="33" spans="1:12" ht="15" customHeight="1" x14ac:dyDescent="0.2">
      <c r="A33" s="16" t="s">
        <v>568</v>
      </c>
      <c r="B33" s="16" t="s">
        <v>569</v>
      </c>
      <c r="C33" s="16" t="s">
        <v>570</v>
      </c>
      <c r="D33" s="17" t="s">
        <v>571</v>
      </c>
      <c r="E33" s="17" t="s">
        <v>478</v>
      </c>
      <c r="F33" s="18">
        <v>37642</v>
      </c>
      <c r="G33" s="16" t="s">
        <v>423</v>
      </c>
      <c r="H33" s="17" t="s">
        <v>572</v>
      </c>
      <c r="I33" s="16" t="s">
        <v>425</v>
      </c>
      <c r="J33" s="16" t="s">
        <v>426</v>
      </c>
      <c r="K33" s="16" t="s">
        <v>427</v>
      </c>
      <c r="L33" s="17"/>
    </row>
    <row r="34" spans="1:12" ht="15" customHeight="1" x14ac:dyDescent="0.2">
      <c r="A34" s="20" t="s">
        <v>573</v>
      </c>
      <c r="B34" s="20" t="s">
        <v>574</v>
      </c>
      <c r="C34" s="20" t="s">
        <v>575</v>
      </c>
      <c r="D34" s="21" t="s">
        <v>576</v>
      </c>
      <c r="E34" s="21" t="s">
        <v>472</v>
      </c>
      <c r="F34" s="22">
        <v>21038</v>
      </c>
      <c r="G34" s="20" t="s">
        <v>540</v>
      </c>
      <c r="H34" s="21" t="s">
        <v>577</v>
      </c>
      <c r="I34" s="20" t="s">
        <v>433</v>
      </c>
      <c r="J34" s="20" t="s">
        <v>516</v>
      </c>
      <c r="K34" s="20" t="s">
        <v>427</v>
      </c>
      <c r="L34" s="21"/>
    </row>
    <row r="35" spans="1:12" ht="15" customHeight="1" x14ac:dyDescent="0.2">
      <c r="A35" s="16" t="s">
        <v>578</v>
      </c>
      <c r="B35" s="16" t="s">
        <v>579</v>
      </c>
      <c r="C35" s="16" t="s">
        <v>580</v>
      </c>
      <c r="D35" s="17" t="s">
        <v>581</v>
      </c>
      <c r="E35" s="17" t="s">
        <v>431</v>
      </c>
      <c r="F35" s="18">
        <v>36938</v>
      </c>
      <c r="G35" s="16" t="s">
        <v>423</v>
      </c>
      <c r="H35" s="17" t="s">
        <v>582</v>
      </c>
      <c r="I35" s="16" t="s">
        <v>433</v>
      </c>
      <c r="J35" s="16" t="s">
        <v>426</v>
      </c>
      <c r="K35" s="16" t="s">
        <v>427</v>
      </c>
      <c r="L35" s="17"/>
    </row>
    <row r="36" spans="1:12" ht="15" customHeight="1" x14ac:dyDescent="0.2">
      <c r="A36" s="20" t="s">
        <v>583</v>
      </c>
      <c r="B36" s="20" t="s">
        <v>584</v>
      </c>
      <c r="C36" s="20" t="s">
        <v>585</v>
      </c>
      <c r="D36" s="21" t="s">
        <v>586</v>
      </c>
      <c r="E36" s="21" t="s">
        <v>431</v>
      </c>
      <c r="F36" s="22">
        <v>11244</v>
      </c>
      <c r="G36" s="20" t="s">
        <v>423</v>
      </c>
      <c r="H36" s="21" t="s">
        <v>587</v>
      </c>
      <c r="I36" s="20" t="s">
        <v>433</v>
      </c>
      <c r="J36" s="20" t="s">
        <v>426</v>
      </c>
      <c r="K36" s="20" t="s">
        <v>427</v>
      </c>
      <c r="L36" s="21"/>
    </row>
    <row r="37" spans="1:12" ht="15" customHeight="1" x14ac:dyDescent="0.2">
      <c r="A37" s="44" t="s">
        <v>588</v>
      </c>
      <c r="B37" s="44" t="s">
        <v>148</v>
      </c>
      <c r="C37" s="44" t="s">
        <v>589</v>
      </c>
      <c r="D37" s="45" t="s">
        <v>590</v>
      </c>
      <c r="E37" s="45" t="s">
        <v>422</v>
      </c>
      <c r="F37" s="46">
        <v>49196</v>
      </c>
      <c r="G37" s="44" t="s">
        <v>423</v>
      </c>
      <c r="H37" s="45" t="s">
        <v>591</v>
      </c>
      <c r="I37" s="44" t="s">
        <v>438</v>
      </c>
      <c r="J37" s="44" t="s">
        <v>426</v>
      </c>
      <c r="K37" s="19" t="s">
        <v>534</v>
      </c>
      <c r="L37" s="45" t="s">
        <v>535</v>
      </c>
    </row>
    <row r="38" spans="1:12" ht="15" customHeight="1" x14ac:dyDescent="0.2">
      <c r="A38" s="20" t="s">
        <v>592</v>
      </c>
      <c r="B38" s="20" t="s">
        <v>593</v>
      </c>
      <c r="C38" s="20" t="s">
        <v>594</v>
      </c>
      <c r="D38" s="21" t="s">
        <v>595</v>
      </c>
      <c r="E38" s="21" t="s">
        <v>442</v>
      </c>
      <c r="F38" s="22">
        <v>27125</v>
      </c>
      <c r="G38" s="20" t="s">
        <v>423</v>
      </c>
      <c r="H38" s="21" t="s">
        <v>596</v>
      </c>
      <c r="I38" s="20" t="s">
        <v>438</v>
      </c>
      <c r="J38" s="20" t="s">
        <v>426</v>
      </c>
      <c r="K38" s="20" t="s">
        <v>427</v>
      </c>
      <c r="L38" s="21"/>
    </row>
    <row r="39" spans="1:12" ht="15" customHeight="1" x14ac:dyDescent="0.2">
      <c r="A39" s="16" t="s">
        <v>597</v>
      </c>
      <c r="B39" s="16" t="s">
        <v>270</v>
      </c>
      <c r="C39" s="16" t="s">
        <v>598</v>
      </c>
      <c r="D39" s="17" t="s">
        <v>599</v>
      </c>
      <c r="E39" s="17" t="s">
        <v>478</v>
      </c>
      <c r="F39" s="18">
        <v>783</v>
      </c>
      <c r="G39" s="16" t="s">
        <v>505</v>
      </c>
      <c r="H39" s="17" t="s">
        <v>600</v>
      </c>
      <c r="I39" s="16" t="s">
        <v>286</v>
      </c>
      <c r="J39" s="16" t="s">
        <v>516</v>
      </c>
      <c r="K39" s="16" t="s">
        <v>427</v>
      </c>
      <c r="L39" s="17"/>
    </row>
    <row r="40" spans="1:12" ht="15" customHeight="1" x14ac:dyDescent="0.2">
      <c r="A40" s="20" t="s">
        <v>601</v>
      </c>
      <c r="B40" s="20" t="s">
        <v>165</v>
      </c>
      <c r="C40" s="20" t="s">
        <v>602</v>
      </c>
      <c r="D40" s="21" t="s">
        <v>603</v>
      </c>
      <c r="E40" s="21" t="s">
        <v>442</v>
      </c>
      <c r="F40" s="22">
        <v>28721</v>
      </c>
      <c r="G40" s="20" t="s">
        <v>423</v>
      </c>
      <c r="H40" s="21" t="s">
        <v>604</v>
      </c>
      <c r="I40" s="20" t="s">
        <v>438</v>
      </c>
      <c r="J40" s="20" t="s">
        <v>426</v>
      </c>
      <c r="K40" s="20" t="s">
        <v>427</v>
      </c>
      <c r="L40" s="21"/>
    </row>
    <row r="41" spans="1:12" ht="15" customHeight="1" x14ac:dyDescent="0.2">
      <c r="A41" s="16" t="s">
        <v>605</v>
      </c>
      <c r="B41" s="16" t="s">
        <v>118</v>
      </c>
      <c r="C41" s="16" t="s">
        <v>606</v>
      </c>
      <c r="D41" s="17" t="s">
        <v>607</v>
      </c>
      <c r="E41" s="17" t="s">
        <v>478</v>
      </c>
      <c r="F41" s="18">
        <v>39050</v>
      </c>
      <c r="G41" s="16" t="s">
        <v>423</v>
      </c>
      <c r="H41" s="17" t="s">
        <v>608</v>
      </c>
      <c r="I41" s="16" t="s">
        <v>425</v>
      </c>
      <c r="J41" s="16" t="s">
        <v>426</v>
      </c>
      <c r="K41" s="16" t="s">
        <v>427</v>
      </c>
      <c r="L41" s="17"/>
    </row>
    <row r="42" spans="1:12" ht="15" customHeight="1" x14ac:dyDescent="0.2">
      <c r="A42" s="20" t="s">
        <v>609</v>
      </c>
      <c r="B42" s="20" t="s">
        <v>610</v>
      </c>
      <c r="C42" s="20" t="s">
        <v>611</v>
      </c>
      <c r="D42" s="21" t="s">
        <v>612</v>
      </c>
      <c r="E42" s="21" t="s">
        <v>478</v>
      </c>
      <c r="F42" s="22">
        <v>33396</v>
      </c>
      <c r="G42" s="20" t="s">
        <v>423</v>
      </c>
      <c r="H42" s="21" t="s">
        <v>613</v>
      </c>
      <c r="I42" s="20" t="s">
        <v>433</v>
      </c>
      <c r="J42" s="20" t="s">
        <v>426</v>
      </c>
      <c r="K42" s="20" t="s">
        <v>427</v>
      </c>
      <c r="L42" s="21"/>
    </row>
    <row r="43" spans="1:12" ht="15" customHeight="1" x14ac:dyDescent="0.2">
      <c r="A43" s="16" t="s">
        <v>614</v>
      </c>
      <c r="B43" s="16" t="s">
        <v>593</v>
      </c>
      <c r="C43" s="16" t="s">
        <v>615</v>
      </c>
      <c r="D43" s="17" t="s">
        <v>616</v>
      </c>
      <c r="E43" s="17" t="s">
        <v>447</v>
      </c>
      <c r="F43" s="18">
        <v>13717</v>
      </c>
      <c r="G43" s="16" t="s">
        <v>423</v>
      </c>
      <c r="H43" s="17" t="s">
        <v>617</v>
      </c>
      <c r="I43" s="16" t="s">
        <v>438</v>
      </c>
      <c r="J43" s="16" t="s">
        <v>426</v>
      </c>
      <c r="K43" s="16" t="s">
        <v>427</v>
      </c>
      <c r="L43" s="17"/>
    </row>
    <row r="44" spans="1:12" ht="15" customHeight="1" x14ac:dyDescent="0.2">
      <c r="A44" s="20" t="s">
        <v>618</v>
      </c>
      <c r="B44" s="20" t="s">
        <v>335</v>
      </c>
      <c r="C44" s="20" t="s">
        <v>598</v>
      </c>
      <c r="D44" s="21" t="s">
        <v>619</v>
      </c>
      <c r="E44" s="21" t="s">
        <v>466</v>
      </c>
      <c r="F44" s="22">
        <v>43194</v>
      </c>
      <c r="G44" s="20" t="s">
        <v>540</v>
      </c>
      <c r="H44" s="21" t="s">
        <v>620</v>
      </c>
      <c r="I44" s="20" t="s">
        <v>425</v>
      </c>
      <c r="J44" s="20" t="s">
        <v>507</v>
      </c>
      <c r="K44" s="20" t="s">
        <v>427</v>
      </c>
      <c r="L44" s="21"/>
    </row>
    <row r="45" spans="1:12" ht="15" customHeight="1" x14ac:dyDescent="0.2">
      <c r="A45" s="16" t="s">
        <v>621</v>
      </c>
      <c r="B45" s="16" t="s">
        <v>252</v>
      </c>
      <c r="C45" s="16" t="s">
        <v>622</v>
      </c>
      <c r="D45" s="17" t="s">
        <v>623</v>
      </c>
      <c r="E45" s="17" t="s">
        <v>447</v>
      </c>
      <c r="F45" s="18">
        <v>34865</v>
      </c>
      <c r="G45" s="16" t="s">
        <v>505</v>
      </c>
      <c r="H45" s="17" t="s">
        <v>624</v>
      </c>
      <c r="I45" s="16" t="s">
        <v>286</v>
      </c>
      <c r="J45" s="16" t="s">
        <v>542</v>
      </c>
      <c r="K45" s="16" t="s">
        <v>427</v>
      </c>
      <c r="L45" s="17"/>
    </row>
    <row r="46" spans="1:12" ht="15" customHeight="1" x14ac:dyDescent="0.2">
      <c r="A46" s="20" t="s">
        <v>625</v>
      </c>
      <c r="B46" s="20" t="s">
        <v>626</v>
      </c>
      <c r="C46" s="20" t="s">
        <v>627</v>
      </c>
      <c r="D46" s="21" t="s">
        <v>628</v>
      </c>
      <c r="E46" s="21" t="s">
        <v>478</v>
      </c>
      <c r="F46" s="22">
        <v>3006</v>
      </c>
      <c r="G46" s="20" t="s">
        <v>423</v>
      </c>
      <c r="H46" s="21" t="s">
        <v>629</v>
      </c>
      <c r="I46" s="20" t="s">
        <v>449</v>
      </c>
      <c r="J46" s="20" t="s">
        <v>426</v>
      </c>
      <c r="K46" s="20" t="s">
        <v>427</v>
      </c>
      <c r="L46" s="21"/>
    </row>
    <row r="47" spans="1:12" ht="15" customHeight="1" x14ac:dyDescent="0.2">
      <c r="A47" s="16" t="s">
        <v>630</v>
      </c>
      <c r="B47" s="16" t="s">
        <v>631</v>
      </c>
      <c r="C47" s="16" t="s">
        <v>632</v>
      </c>
      <c r="D47" s="17" t="s">
        <v>633</v>
      </c>
      <c r="E47" s="17" t="s">
        <v>442</v>
      </c>
      <c r="F47" s="18">
        <v>44531</v>
      </c>
      <c r="G47" s="16" t="s">
        <v>423</v>
      </c>
      <c r="H47" s="17" t="s">
        <v>634</v>
      </c>
      <c r="I47" s="16" t="s">
        <v>433</v>
      </c>
      <c r="J47" s="16" t="s">
        <v>426</v>
      </c>
      <c r="K47" s="16" t="s">
        <v>427</v>
      </c>
      <c r="L47" s="17"/>
    </row>
    <row r="48" spans="1:12" ht="15" customHeight="1" x14ac:dyDescent="0.2">
      <c r="A48" s="44" t="s">
        <v>635</v>
      </c>
      <c r="B48" s="44" t="s">
        <v>145</v>
      </c>
      <c r="C48" s="44" t="s">
        <v>636</v>
      </c>
      <c r="D48" s="45" t="s">
        <v>637</v>
      </c>
      <c r="E48" s="45" t="s">
        <v>478</v>
      </c>
      <c r="F48" s="46">
        <v>71018</v>
      </c>
      <c r="G48" s="44" t="s">
        <v>540</v>
      </c>
      <c r="H48" s="45" t="s">
        <v>638</v>
      </c>
      <c r="I48" s="44" t="s">
        <v>425</v>
      </c>
      <c r="J48" s="44" t="s">
        <v>639</v>
      </c>
      <c r="K48" s="19" t="s">
        <v>534</v>
      </c>
      <c r="L48" s="45" t="s">
        <v>640</v>
      </c>
    </row>
    <row r="49" spans="1:12" ht="15" customHeight="1" x14ac:dyDescent="0.2">
      <c r="A49" s="16" t="s">
        <v>641</v>
      </c>
      <c r="B49" s="16" t="s">
        <v>208</v>
      </c>
      <c r="C49" s="16" t="s">
        <v>642</v>
      </c>
      <c r="D49" s="17" t="s">
        <v>643</v>
      </c>
      <c r="E49" s="17" t="s">
        <v>472</v>
      </c>
      <c r="F49" s="18">
        <v>9749</v>
      </c>
      <c r="G49" s="16" t="s">
        <v>423</v>
      </c>
      <c r="H49" s="17" t="s">
        <v>644</v>
      </c>
      <c r="I49" s="16" t="s">
        <v>425</v>
      </c>
      <c r="J49" s="16" t="s">
        <v>426</v>
      </c>
      <c r="K49" s="16" t="s">
        <v>427</v>
      </c>
      <c r="L49" s="17"/>
    </row>
    <row r="50" spans="1:12" ht="15" customHeight="1" x14ac:dyDescent="0.2">
      <c r="A50" s="20" t="s">
        <v>645</v>
      </c>
      <c r="B50" s="20" t="s">
        <v>184</v>
      </c>
      <c r="C50" s="20" t="s">
        <v>646</v>
      </c>
      <c r="D50" s="21" t="s">
        <v>647</v>
      </c>
      <c r="E50" s="21" t="s">
        <v>422</v>
      </c>
      <c r="F50" s="22">
        <v>10555</v>
      </c>
      <c r="G50" s="20" t="s">
        <v>423</v>
      </c>
      <c r="H50" s="21" t="s">
        <v>648</v>
      </c>
      <c r="I50" s="20" t="s">
        <v>438</v>
      </c>
      <c r="J50" s="20" t="s">
        <v>426</v>
      </c>
      <c r="K50" s="20" t="s">
        <v>427</v>
      </c>
      <c r="L50" s="21"/>
    </row>
    <row r="51" spans="1:12" ht="15" customHeight="1" x14ac:dyDescent="0.2">
      <c r="A51" s="16" t="s">
        <v>649</v>
      </c>
      <c r="B51" s="16" t="s">
        <v>650</v>
      </c>
      <c r="C51" s="16" t="s">
        <v>651</v>
      </c>
      <c r="D51" s="17" t="s">
        <v>652</v>
      </c>
      <c r="E51" s="17" t="s">
        <v>466</v>
      </c>
      <c r="F51" s="18">
        <v>42771</v>
      </c>
      <c r="G51" s="16" t="s">
        <v>423</v>
      </c>
      <c r="H51" s="17" t="s">
        <v>653</v>
      </c>
      <c r="I51" s="16" t="s">
        <v>449</v>
      </c>
      <c r="J51" s="16" t="s">
        <v>426</v>
      </c>
      <c r="K51" s="16" t="s">
        <v>427</v>
      </c>
      <c r="L51" s="17"/>
    </row>
    <row r="52" spans="1:12" ht="15" customHeight="1" x14ac:dyDescent="0.2">
      <c r="A52" s="20" t="s">
        <v>654</v>
      </c>
      <c r="B52" s="20" t="s">
        <v>584</v>
      </c>
      <c r="C52" s="20" t="s">
        <v>655</v>
      </c>
      <c r="D52" s="21" t="s">
        <v>656</v>
      </c>
      <c r="E52" s="21" t="s">
        <v>292</v>
      </c>
      <c r="F52" s="22">
        <v>37091</v>
      </c>
      <c r="G52" s="20" t="s">
        <v>423</v>
      </c>
      <c r="H52" s="21" t="s">
        <v>657</v>
      </c>
      <c r="I52" s="20" t="s">
        <v>286</v>
      </c>
      <c r="J52" s="20" t="s">
        <v>426</v>
      </c>
      <c r="K52" s="20" t="s">
        <v>427</v>
      </c>
      <c r="L52" s="21"/>
    </row>
    <row r="53" spans="1:12" ht="15" customHeight="1" x14ac:dyDescent="0.2">
      <c r="A53" s="16" t="s">
        <v>658</v>
      </c>
      <c r="B53" s="16" t="s">
        <v>659</v>
      </c>
      <c r="C53" s="16" t="s">
        <v>660</v>
      </c>
      <c r="D53" s="17" t="s">
        <v>661</v>
      </c>
      <c r="E53" s="17" t="s">
        <v>422</v>
      </c>
      <c r="F53" s="18">
        <v>2677</v>
      </c>
      <c r="G53" s="16" t="s">
        <v>423</v>
      </c>
      <c r="H53" s="17" t="s">
        <v>662</v>
      </c>
      <c r="I53" s="16" t="s">
        <v>449</v>
      </c>
      <c r="J53" s="16" t="s">
        <v>426</v>
      </c>
      <c r="K53" s="16" t="s">
        <v>427</v>
      </c>
      <c r="L53" s="17"/>
    </row>
    <row r="54" spans="1:12" ht="15" customHeight="1" x14ac:dyDescent="0.2">
      <c r="A54" s="44" t="s">
        <v>663</v>
      </c>
      <c r="B54" s="44" t="s">
        <v>223</v>
      </c>
      <c r="C54" s="44" t="s">
        <v>664</v>
      </c>
      <c r="D54" s="45" t="s">
        <v>665</v>
      </c>
      <c r="E54" s="45" t="s">
        <v>422</v>
      </c>
      <c r="F54" s="46">
        <v>22795</v>
      </c>
      <c r="G54" s="44" t="s">
        <v>423</v>
      </c>
      <c r="H54" s="45" t="s">
        <v>666</v>
      </c>
      <c r="I54" s="44" t="s">
        <v>425</v>
      </c>
      <c r="J54" s="44" t="s">
        <v>426</v>
      </c>
      <c r="K54" s="19" t="s">
        <v>534</v>
      </c>
      <c r="L54" s="45" t="s">
        <v>667</v>
      </c>
    </row>
    <row r="55" spans="1:12" ht="15" customHeight="1" x14ac:dyDescent="0.2">
      <c r="A55" s="16" t="s">
        <v>668</v>
      </c>
      <c r="B55" s="16" t="s">
        <v>247</v>
      </c>
      <c r="C55" s="16" t="s">
        <v>669</v>
      </c>
      <c r="D55" s="17" t="s">
        <v>670</v>
      </c>
      <c r="E55" s="17" t="s">
        <v>478</v>
      </c>
      <c r="F55" s="18">
        <v>19000</v>
      </c>
      <c r="G55" s="16" t="s">
        <v>671</v>
      </c>
      <c r="H55" s="17" t="s">
        <v>672</v>
      </c>
      <c r="I55" s="16" t="s">
        <v>449</v>
      </c>
      <c r="J55" s="16" t="s">
        <v>673</v>
      </c>
      <c r="K55" s="16" t="s">
        <v>427</v>
      </c>
      <c r="L55" s="17"/>
    </row>
    <row r="56" spans="1:12" ht="15" customHeight="1" x14ac:dyDescent="0.2">
      <c r="A56" s="20" t="s">
        <v>674</v>
      </c>
      <c r="B56" s="20" t="s">
        <v>135</v>
      </c>
      <c r="C56" s="20" t="s">
        <v>675</v>
      </c>
      <c r="D56" s="21" t="s">
        <v>676</v>
      </c>
      <c r="E56" s="21" t="s">
        <v>478</v>
      </c>
      <c r="F56" s="22">
        <v>26607</v>
      </c>
      <c r="G56" s="20" t="s">
        <v>423</v>
      </c>
      <c r="H56" s="21" t="s">
        <v>677</v>
      </c>
      <c r="I56" s="20" t="s">
        <v>433</v>
      </c>
      <c r="J56" s="20" t="s">
        <v>426</v>
      </c>
      <c r="K56" s="20" t="s">
        <v>427</v>
      </c>
      <c r="L56" s="21"/>
    </row>
    <row r="57" spans="1:12" ht="15" customHeight="1" x14ac:dyDescent="0.2">
      <c r="A57" s="16" t="s">
        <v>678</v>
      </c>
      <c r="B57" s="16" t="s">
        <v>145</v>
      </c>
      <c r="C57" s="16" t="s">
        <v>679</v>
      </c>
      <c r="D57" s="17" t="s">
        <v>680</v>
      </c>
      <c r="E57" s="17" t="s">
        <v>472</v>
      </c>
      <c r="F57" s="18">
        <v>6078</v>
      </c>
      <c r="G57" s="16" t="s">
        <v>423</v>
      </c>
      <c r="H57" s="17" t="s">
        <v>681</v>
      </c>
      <c r="I57" s="16" t="s">
        <v>438</v>
      </c>
      <c r="J57" s="16" t="s">
        <v>426</v>
      </c>
      <c r="K57" s="16" t="s">
        <v>427</v>
      </c>
      <c r="L57" s="17"/>
    </row>
    <row r="58" spans="1:12" ht="15" customHeight="1" x14ac:dyDescent="0.2">
      <c r="A58" s="20" t="s">
        <v>682</v>
      </c>
      <c r="B58" s="20" t="s">
        <v>275</v>
      </c>
      <c r="C58" s="20" t="s">
        <v>683</v>
      </c>
      <c r="D58" s="21" t="s">
        <v>684</v>
      </c>
      <c r="E58" s="21" t="s">
        <v>422</v>
      </c>
      <c r="F58" s="22">
        <v>43951</v>
      </c>
      <c r="G58" s="20" t="s">
        <v>505</v>
      </c>
      <c r="H58" s="21" t="s">
        <v>685</v>
      </c>
      <c r="I58" s="20" t="s">
        <v>286</v>
      </c>
      <c r="J58" s="20" t="s">
        <v>516</v>
      </c>
      <c r="K58" s="20" t="s">
        <v>427</v>
      </c>
      <c r="L58" s="21"/>
    </row>
    <row r="59" spans="1:12" ht="15" customHeight="1" x14ac:dyDescent="0.2">
      <c r="A59" s="16" t="s">
        <v>686</v>
      </c>
      <c r="B59" s="16" t="s">
        <v>294</v>
      </c>
      <c r="C59" s="16" t="s">
        <v>687</v>
      </c>
      <c r="D59" s="17" t="s">
        <v>688</v>
      </c>
      <c r="E59" s="17" t="s">
        <v>478</v>
      </c>
      <c r="F59" s="18">
        <v>28661</v>
      </c>
      <c r="G59" s="16" t="s">
        <v>423</v>
      </c>
      <c r="H59" s="17" t="s">
        <v>689</v>
      </c>
      <c r="I59" s="16" t="s">
        <v>449</v>
      </c>
      <c r="J59" s="16" t="s">
        <v>426</v>
      </c>
      <c r="K59" s="16" t="s">
        <v>427</v>
      </c>
      <c r="L59" s="17"/>
    </row>
    <row r="60" spans="1:12" ht="15" customHeight="1" x14ac:dyDescent="0.2">
      <c r="A60" s="20" t="s">
        <v>690</v>
      </c>
      <c r="B60" s="20" t="s">
        <v>574</v>
      </c>
      <c r="C60" s="20" t="s">
        <v>691</v>
      </c>
      <c r="D60" s="21" t="s">
        <v>692</v>
      </c>
      <c r="E60" s="21" t="s">
        <v>478</v>
      </c>
      <c r="F60" s="22">
        <v>12606</v>
      </c>
      <c r="G60" s="20" t="s">
        <v>423</v>
      </c>
      <c r="H60" s="21" t="s">
        <v>693</v>
      </c>
      <c r="I60" s="20" t="s">
        <v>433</v>
      </c>
      <c r="J60" s="20" t="s">
        <v>426</v>
      </c>
      <c r="K60" s="20" t="s">
        <v>427</v>
      </c>
      <c r="L60" s="21"/>
    </row>
    <row r="61" spans="1:12" ht="15" customHeight="1" x14ac:dyDescent="0.2">
      <c r="A61" s="44" t="s">
        <v>694</v>
      </c>
      <c r="B61" s="44" t="s">
        <v>118</v>
      </c>
      <c r="C61" s="44" t="s">
        <v>695</v>
      </c>
      <c r="D61" s="45" t="s">
        <v>696</v>
      </c>
      <c r="E61" s="45" t="s">
        <v>466</v>
      </c>
      <c r="F61" s="46">
        <v>22965</v>
      </c>
      <c r="G61" s="44" t="s">
        <v>423</v>
      </c>
      <c r="H61" s="45" t="s">
        <v>697</v>
      </c>
      <c r="I61" s="44" t="s">
        <v>433</v>
      </c>
      <c r="J61" s="44" t="s">
        <v>426</v>
      </c>
      <c r="K61" s="19" t="s">
        <v>534</v>
      </c>
      <c r="L61" s="45" t="s">
        <v>535</v>
      </c>
    </row>
    <row r="62" spans="1:12" ht="15" customHeight="1" x14ac:dyDescent="0.2">
      <c r="A62" s="20" t="s">
        <v>698</v>
      </c>
      <c r="B62" s="20" t="s">
        <v>455</v>
      </c>
      <c r="C62" s="20" t="s">
        <v>699</v>
      </c>
      <c r="D62" s="21" t="s">
        <v>700</v>
      </c>
      <c r="E62" s="21" t="s">
        <v>292</v>
      </c>
      <c r="F62" s="22">
        <v>33373</v>
      </c>
      <c r="G62" s="20" t="s">
        <v>423</v>
      </c>
      <c r="H62" s="21" t="s">
        <v>701</v>
      </c>
      <c r="I62" s="20" t="s">
        <v>425</v>
      </c>
      <c r="J62" s="20" t="s">
        <v>426</v>
      </c>
      <c r="K62" s="20" t="s">
        <v>427</v>
      </c>
      <c r="L62" s="21"/>
    </row>
    <row r="63" spans="1:12" ht="15" customHeight="1" x14ac:dyDescent="0.2">
      <c r="A63" s="16" t="s">
        <v>702</v>
      </c>
      <c r="B63" s="16" t="s">
        <v>626</v>
      </c>
      <c r="C63" s="16" t="s">
        <v>703</v>
      </c>
      <c r="D63" s="17" t="s">
        <v>704</v>
      </c>
      <c r="E63" s="17" t="s">
        <v>442</v>
      </c>
      <c r="F63" s="18">
        <v>22069</v>
      </c>
      <c r="G63" s="16" t="s">
        <v>540</v>
      </c>
      <c r="H63" s="17" t="s">
        <v>705</v>
      </c>
      <c r="I63" s="16" t="s">
        <v>425</v>
      </c>
      <c r="J63" s="16" t="s">
        <v>507</v>
      </c>
      <c r="K63" s="16" t="s">
        <v>427</v>
      </c>
      <c r="L63" s="17"/>
    </row>
    <row r="64" spans="1:12" ht="15" customHeight="1" x14ac:dyDescent="0.2">
      <c r="A64" s="20" t="s">
        <v>706</v>
      </c>
      <c r="B64" s="20" t="s">
        <v>270</v>
      </c>
      <c r="C64" s="20" t="s">
        <v>707</v>
      </c>
      <c r="D64" s="21" t="s">
        <v>708</v>
      </c>
      <c r="E64" s="21" t="s">
        <v>447</v>
      </c>
      <c r="F64" s="22">
        <v>38046</v>
      </c>
      <c r="G64" s="20" t="s">
        <v>423</v>
      </c>
      <c r="H64" s="21" t="s">
        <v>709</v>
      </c>
      <c r="I64" s="20" t="s">
        <v>425</v>
      </c>
      <c r="J64" s="20" t="s">
        <v>426</v>
      </c>
      <c r="K64" s="20" t="s">
        <v>427</v>
      </c>
      <c r="L64" s="21"/>
    </row>
    <row r="65" spans="1:12" ht="15" customHeight="1" x14ac:dyDescent="0.2">
      <c r="A65" s="16" t="s">
        <v>710</v>
      </c>
      <c r="B65" s="16" t="s">
        <v>593</v>
      </c>
      <c r="C65" s="16" t="s">
        <v>711</v>
      </c>
      <c r="D65" s="17" t="s">
        <v>712</v>
      </c>
      <c r="E65" s="17" t="s">
        <v>478</v>
      </c>
      <c r="F65" s="18">
        <v>30508</v>
      </c>
      <c r="G65" s="16" t="s">
        <v>423</v>
      </c>
      <c r="H65" s="17" t="s">
        <v>713</v>
      </c>
      <c r="I65" s="16" t="s">
        <v>286</v>
      </c>
      <c r="J65" s="16" t="s">
        <v>426</v>
      </c>
      <c r="K65" s="16" t="s">
        <v>427</v>
      </c>
      <c r="L65" s="17"/>
    </row>
    <row r="66" spans="1:12" ht="15" customHeight="1" x14ac:dyDescent="0.2">
      <c r="A66" s="44" t="s">
        <v>714</v>
      </c>
      <c r="B66" s="44" t="s">
        <v>650</v>
      </c>
      <c r="C66" s="44" t="s">
        <v>715</v>
      </c>
      <c r="D66" s="45" t="s">
        <v>716</v>
      </c>
      <c r="E66" s="45" t="s">
        <v>466</v>
      </c>
      <c r="F66" s="46">
        <v>403720</v>
      </c>
      <c r="G66" s="44" t="s">
        <v>423</v>
      </c>
      <c r="H66" s="45" t="s">
        <v>717</v>
      </c>
      <c r="I66" s="44" t="s">
        <v>425</v>
      </c>
      <c r="J66" s="44" t="s">
        <v>426</v>
      </c>
      <c r="K66" s="19" t="s">
        <v>534</v>
      </c>
      <c r="L66" s="45" t="s">
        <v>718</v>
      </c>
    </row>
    <row r="67" spans="1:12" ht="15" customHeight="1" x14ac:dyDescent="0.2">
      <c r="A67" s="44" t="s">
        <v>719</v>
      </c>
      <c r="B67" s="44" t="s">
        <v>720</v>
      </c>
      <c r="C67" s="44" t="s">
        <v>721</v>
      </c>
      <c r="D67" s="45" t="s">
        <v>722</v>
      </c>
      <c r="E67" s="45" t="s">
        <v>422</v>
      </c>
      <c r="F67" s="46">
        <v>94622</v>
      </c>
      <c r="G67" s="44" t="s">
        <v>423</v>
      </c>
      <c r="H67" s="45" t="s">
        <v>723</v>
      </c>
      <c r="I67" s="44" t="s">
        <v>449</v>
      </c>
      <c r="J67" s="44" t="s">
        <v>426</v>
      </c>
      <c r="K67" s="19" t="s">
        <v>534</v>
      </c>
      <c r="L67" s="45" t="s">
        <v>724</v>
      </c>
    </row>
    <row r="68" spans="1:12" ht="15" customHeight="1" x14ac:dyDescent="0.2">
      <c r="A68" s="20" t="s">
        <v>725</v>
      </c>
      <c r="B68" s="20" t="s">
        <v>650</v>
      </c>
      <c r="C68" s="20" t="s">
        <v>726</v>
      </c>
      <c r="D68" s="21" t="s">
        <v>727</v>
      </c>
      <c r="E68" s="21" t="s">
        <v>431</v>
      </c>
      <c r="F68" s="22">
        <v>43014</v>
      </c>
      <c r="G68" s="20" t="s">
        <v>423</v>
      </c>
      <c r="H68" s="21" t="s">
        <v>728</v>
      </c>
      <c r="I68" s="20" t="s">
        <v>286</v>
      </c>
      <c r="J68" s="20" t="s">
        <v>426</v>
      </c>
      <c r="K68" s="20" t="s">
        <v>427</v>
      </c>
      <c r="L68" s="21"/>
    </row>
    <row r="69" spans="1:12" ht="15" customHeight="1" x14ac:dyDescent="0.2">
      <c r="A69" s="16" t="s">
        <v>729</v>
      </c>
      <c r="B69" s="16" t="s">
        <v>297</v>
      </c>
      <c r="C69" s="16" t="s">
        <v>730</v>
      </c>
      <c r="D69" s="17" t="s">
        <v>731</v>
      </c>
      <c r="E69" s="17" t="s">
        <v>431</v>
      </c>
      <c r="F69" s="18">
        <v>46097</v>
      </c>
      <c r="G69" s="16" t="s">
        <v>505</v>
      </c>
      <c r="H69" s="17" t="s">
        <v>732</v>
      </c>
      <c r="I69" s="16" t="s">
        <v>433</v>
      </c>
      <c r="J69" s="16" t="s">
        <v>542</v>
      </c>
      <c r="K69" s="16" t="s">
        <v>427</v>
      </c>
      <c r="L69" s="17"/>
    </row>
    <row r="70" spans="1:12" ht="15" customHeight="1" x14ac:dyDescent="0.2">
      <c r="A70" s="20" t="s">
        <v>733</v>
      </c>
      <c r="B70" s="20" t="s">
        <v>734</v>
      </c>
      <c r="C70" s="20" t="s">
        <v>735</v>
      </c>
      <c r="D70" s="21" t="s">
        <v>736</v>
      </c>
      <c r="E70" s="21" t="s">
        <v>472</v>
      </c>
      <c r="F70" s="22">
        <v>12076</v>
      </c>
      <c r="G70" s="20" t="s">
        <v>671</v>
      </c>
      <c r="H70" s="21" t="s">
        <v>737</v>
      </c>
      <c r="I70" s="20" t="s">
        <v>438</v>
      </c>
      <c r="J70" s="20" t="s">
        <v>507</v>
      </c>
      <c r="K70" s="20" t="s">
        <v>427</v>
      </c>
      <c r="L70" s="21"/>
    </row>
    <row r="71" spans="1:12" ht="15" customHeight="1" x14ac:dyDescent="0.2">
      <c r="A71" s="16" t="s">
        <v>738</v>
      </c>
      <c r="B71" s="16" t="s">
        <v>739</v>
      </c>
      <c r="C71" s="16" t="s">
        <v>740</v>
      </c>
      <c r="D71" s="17" t="s">
        <v>741</v>
      </c>
      <c r="E71" s="17" t="s">
        <v>447</v>
      </c>
      <c r="F71" s="18">
        <v>4976</v>
      </c>
      <c r="G71" s="16" t="s">
        <v>540</v>
      </c>
      <c r="H71" s="17" t="s">
        <v>742</v>
      </c>
      <c r="I71" s="16" t="s">
        <v>449</v>
      </c>
      <c r="J71" s="16" t="s">
        <v>542</v>
      </c>
      <c r="K71" s="16" t="s">
        <v>427</v>
      </c>
      <c r="L71" s="17"/>
    </row>
    <row r="72" spans="1:12" ht="15" customHeight="1" x14ac:dyDescent="0.2">
      <c r="A72" s="20" t="s">
        <v>743</v>
      </c>
      <c r="B72" s="20" t="s">
        <v>297</v>
      </c>
      <c r="C72" s="20" t="s">
        <v>744</v>
      </c>
      <c r="D72" s="21" t="s">
        <v>745</v>
      </c>
      <c r="E72" s="21" t="s">
        <v>472</v>
      </c>
      <c r="F72" s="22">
        <v>48125</v>
      </c>
      <c r="G72" s="20" t="s">
        <v>505</v>
      </c>
      <c r="H72" s="21" t="s">
        <v>746</v>
      </c>
      <c r="I72" s="20" t="s">
        <v>449</v>
      </c>
      <c r="J72" s="20" t="s">
        <v>542</v>
      </c>
      <c r="K72" s="20" t="s">
        <v>427</v>
      </c>
      <c r="L72" s="21"/>
    </row>
    <row r="73" spans="1:12" ht="15" customHeight="1" x14ac:dyDescent="0.2">
      <c r="A73" s="16" t="s">
        <v>747</v>
      </c>
      <c r="B73" s="16" t="s">
        <v>148</v>
      </c>
      <c r="C73" s="16" t="s">
        <v>748</v>
      </c>
      <c r="D73" s="17" t="s">
        <v>749</v>
      </c>
      <c r="E73" s="17" t="s">
        <v>442</v>
      </c>
      <c r="F73" s="18">
        <v>12004</v>
      </c>
      <c r="G73" s="16" t="s">
        <v>423</v>
      </c>
      <c r="H73" s="17" t="s">
        <v>750</v>
      </c>
      <c r="I73" s="16" t="s">
        <v>449</v>
      </c>
      <c r="J73" s="16" t="s">
        <v>426</v>
      </c>
      <c r="K73" s="16" t="s">
        <v>427</v>
      </c>
      <c r="L73" s="17"/>
    </row>
    <row r="74" spans="1:12" ht="15" customHeight="1" x14ac:dyDescent="0.2">
      <c r="A74" s="20" t="s">
        <v>751</v>
      </c>
      <c r="B74" s="20" t="s">
        <v>752</v>
      </c>
      <c r="C74" s="20" t="s">
        <v>753</v>
      </c>
      <c r="D74" s="21" t="s">
        <v>754</v>
      </c>
      <c r="E74" s="21" t="s">
        <v>447</v>
      </c>
      <c r="F74" s="22">
        <v>7387</v>
      </c>
      <c r="G74" s="20" t="s">
        <v>423</v>
      </c>
      <c r="H74" s="21" t="s">
        <v>755</v>
      </c>
      <c r="I74" s="20" t="s">
        <v>433</v>
      </c>
      <c r="J74" s="20" t="s">
        <v>426</v>
      </c>
      <c r="K74" s="20" t="s">
        <v>427</v>
      </c>
      <c r="L74" s="21"/>
    </row>
    <row r="75" spans="1:12" ht="15" customHeight="1" x14ac:dyDescent="0.2">
      <c r="A75" s="16" t="s">
        <v>756</v>
      </c>
      <c r="B75" s="16" t="s">
        <v>560</v>
      </c>
      <c r="C75" s="16" t="s">
        <v>757</v>
      </c>
      <c r="D75" s="17" t="s">
        <v>758</v>
      </c>
      <c r="E75" s="17" t="s">
        <v>431</v>
      </c>
      <c r="F75" s="18">
        <v>26087</v>
      </c>
      <c r="G75" s="16" t="s">
        <v>423</v>
      </c>
      <c r="H75" s="17" t="s">
        <v>759</v>
      </c>
      <c r="I75" s="16" t="s">
        <v>433</v>
      </c>
      <c r="J75" s="16" t="s">
        <v>426</v>
      </c>
      <c r="K75" s="16" t="s">
        <v>427</v>
      </c>
      <c r="L75" s="17"/>
    </row>
    <row r="76" spans="1:12" ht="15" customHeight="1" x14ac:dyDescent="0.2">
      <c r="A76" s="20" t="s">
        <v>760</v>
      </c>
      <c r="B76" s="20" t="s">
        <v>275</v>
      </c>
      <c r="C76" s="20" t="s">
        <v>761</v>
      </c>
      <c r="D76" s="21" t="s">
        <v>762</v>
      </c>
      <c r="E76" s="21" t="s">
        <v>447</v>
      </c>
      <c r="F76" s="22">
        <v>9339</v>
      </c>
      <c r="G76" s="20" t="s">
        <v>423</v>
      </c>
      <c r="H76" s="21" t="s">
        <v>763</v>
      </c>
      <c r="I76" s="20" t="s">
        <v>425</v>
      </c>
      <c r="J76" s="20" t="s">
        <v>426</v>
      </c>
      <c r="K76" s="20" t="s">
        <v>427</v>
      </c>
      <c r="L76" s="21"/>
    </row>
    <row r="77" spans="1:12" ht="15" customHeight="1" x14ac:dyDescent="0.2">
      <c r="A77" s="16" t="s">
        <v>764</v>
      </c>
      <c r="B77" s="16" t="s">
        <v>327</v>
      </c>
      <c r="C77" s="16" t="s">
        <v>765</v>
      </c>
      <c r="D77" s="17" t="s">
        <v>766</v>
      </c>
      <c r="E77" s="17" t="s">
        <v>447</v>
      </c>
      <c r="F77" s="18">
        <v>36702</v>
      </c>
      <c r="G77" s="16" t="s">
        <v>423</v>
      </c>
      <c r="H77" s="17" t="s">
        <v>767</v>
      </c>
      <c r="I77" s="16" t="s">
        <v>438</v>
      </c>
      <c r="J77" s="16" t="s">
        <v>426</v>
      </c>
      <c r="K77" s="16" t="s">
        <v>427</v>
      </c>
      <c r="L77" s="17"/>
    </row>
    <row r="78" spans="1:12" ht="15" customHeight="1" x14ac:dyDescent="0.2">
      <c r="A78" s="20" t="s">
        <v>768</v>
      </c>
      <c r="B78" s="20" t="s">
        <v>769</v>
      </c>
      <c r="C78" s="20" t="s">
        <v>770</v>
      </c>
      <c r="D78" s="21" t="s">
        <v>771</v>
      </c>
      <c r="E78" s="21" t="s">
        <v>431</v>
      </c>
      <c r="F78" s="22">
        <v>15473</v>
      </c>
      <c r="G78" s="20" t="s">
        <v>671</v>
      </c>
      <c r="H78" s="21" t="s">
        <v>772</v>
      </c>
      <c r="I78" s="20" t="s">
        <v>286</v>
      </c>
      <c r="J78" s="20" t="s">
        <v>673</v>
      </c>
      <c r="K78" s="20" t="s">
        <v>427</v>
      </c>
      <c r="L78" s="21"/>
    </row>
    <row r="79" spans="1:12" ht="15" customHeight="1" x14ac:dyDescent="0.2">
      <c r="A79" s="16" t="s">
        <v>773</v>
      </c>
      <c r="B79" s="16" t="s">
        <v>774</v>
      </c>
      <c r="C79" s="16" t="s">
        <v>775</v>
      </c>
      <c r="D79" s="17" t="s">
        <v>776</v>
      </c>
      <c r="E79" s="17" t="s">
        <v>478</v>
      </c>
      <c r="F79" s="18">
        <v>37299</v>
      </c>
      <c r="G79" s="16" t="s">
        <v>423</v>
      </c>
      <c r="H79" s="17" t="s">
        <v>777</v>
      </c>
      <c r="I79" s="16" t="s">
        <v>433</v>
      </c>
      <c r="J79" s="16" t="s">
        <v>426</v>
      </c>
      <c r="K79" s="16" t="s">
        <v>427</v>
      </c>
      <c r="L79" s="17"/>
    </row>
    <row r="80" spans="1:12" ht="15" customHeight="1" x14ac:dyDescent="0.2">
      <c r="A80" s="20" t="s">
        <v>778</v>
      </c>
      <c r="B80" s="20" t="s">
        <v>779</v>
      </c>
      <c r="C80" s="20" t="s">
        <v>711</v>
      </c>
      <c r="D80" s="21" t="s">
        <v>780</v>
      </c>
      <c r="E80" s="21" t="s">
        <v>431</v>
      </c>
      <c r="F80" s="22">
        <v>13773</v>
      </c>
      <c r="G80" s="20" t="s">
        <v>671</v>
      </c>
      <c r="H80" s="21" t="s">
        <v>781</v>
      </c>
      <c r="I80" s="20" t="s">
        <v>286</v>
      </c>
      <c r="J80" s="20" t="s">
        <v>507</v>
      </c>
      <c r="K80" s="20" t="s">
        <v>427</v>
      </c>
      <c r="L80" s="21"/>
    </row>
    <row r="81" spans="1:12" ht="15" customHeight="1" x14ac:dyDescent="0.2">
      <c r="A81" s="16" t="s">
        <v>782</v>
      </c>
      <c r="B81" s="16" t="s">
        <v>118</v>
      </c>
      <c r="C81" s="16" t="s">
        <v>636</v>
      </c>
      <c r="D81" s="17" t="s">
        <v>783</v>
      </c>
      <c r="E81" s="17" t="s">
        <v>422</v>
      </c>
      <c r="F81" s="18">
        <v>42463</v>
      </c>
      <c r="G81" s="16" t="s">
        <v>423</v>
      </c>
      <c r="H81" s="17" t="s">
        <v>784</v>
      </c>
      <c r="I81" s="16" t="s">
        <v>425</v>
      </c>
      <c r="J81" s="16" t="s">
        <v>426</v>
      </c>
      <c r="K81" s="16" t="s">
        <v>427</v>
      </c>
      <c r="L81" s="17"/>
    </row>
    <row r="82" spans="1:12" ht="15" customHeight="1" x14ac:dyDescent="0.2">
      <c r="A82" s="20" t="s">
        <v>785</v>
      </c>
      <c r="B82" s="20" t="s">
        <v>569</v>
      </c>
      <c r="C82" s="20" t="s">
        <v>786</v>
      </c>
      <c r="D82" s="21" t="s">
        <v>787</v>
      </c>
      <c r="E82" s="21" t="s">
        <v>431</v>
      </c>
      <c r="F82" s="22">
        <v>20264</v>
      </c>
      <c r="G82" s="20" t="s">
        <v>423</v>
      </c>
      <c r="H82" s="21" t="s">
        <v>788</v>
      </c>
      <c r="I82" s="20" t="s">
        <v>449</v>
      </c>
      <c r="J82" s="20" t="s">
        <v>426</v>
      </c>
      <c r="K82" s="20" t="s">
        <v>427</v>
      </c>
      <c r="L82" s="21"/>
    </row>
    <row r="83" spans="1:12" ht="15" customHeight="1" x14ac:dyDescent="0.2">
      <c r="A83" s="16" t="s">
        <v>789</v>
      </c>
      <c r="B83" s="16" t="s">
        <v>77</v>
      </c>
      <c r="C83" s="16" t="s">
        <v>790</v>
      </c>
      <c r="D83" s="17" t="s">
        <v>791</v>
      </c>
      <c r="E83" s="17" t="s">
        <v>292</v>
      </c>
      <c r="F83" s="18">
        <v>19127</v>
      </c>
      <c r="G83" s="16" t="s">
        <v>540</v>
      </c>
      <c r="H83" s="17" t="s">
        <v>792</v>
      </c>
      <c r="I83" s="16" t="s">
        <v>425</v>
      </c>
      <c r="J83" s="16" t="s">
        <v>516</v>
      </c>
      <c r="K83" s="16" t="s">
        <v>427</v>
      </c>
      <c r="L83" s="17"/>
    </row>
    <row r="84" spans="1:12" ht="15" customHeight="1" x14ac:dyDescent="0.2">
      <c r="A84" s="20" t="s">
        <v>793</v>
      </c>
      <c r="B84" s="20" t="s">
        <v>560</v>
      </c>
      <c r="C84" s="20" t="s">
        <v>794</v>
      </c>
      <c r="D84" s="21" t="s">
        <v>795</v>
      </c>
      <c r="E84" s="21" t="s">
        <v>422</v>
      </c>
      <c r="F84" s="22">
        <v>44845</v>
      </c>
      <c r="G84" s="20" t="s">
        <v>423</v>
      </c>
      <c r="H84" s="21" t="s">
        <v>796</v>
      </c>
      <c r="I84" s="20" t="s">
        <v>286</v>
      </c>
      <c r="J84" s="20" t="s">
        <v>426</v>
      </c>
      <c r="K84" s="20" t="s">
        <v>427</v>
      </c>
      <c r="L84" s="21"/>
    </row>
    <row r="85" spans="1:12" ht="15" customHeight="1" x14ac:dyDescent="0.2">
      <c r="A85" s="16" t="s">
        <v>797</v>
      </c>
      <c r="B85" s="16" t="s">
        <v>469</v>
      </c>
      <c r="C85" s="16" t="s">
        <v>798</v>
      </c>
      <c r="D85" s="17" t="s">
        <v>799</v>
      </c>
      <c r="E85" s="17" t="s">
        <v>447</v>
      </c>
      <c r="F85" s="18">
        <v>47710</v>
      </c>
      <c r="G85" s="16" t="s">
        <v>423</v>
      </c>
      <c r="H85" s="17" t="s">
        <v>800</v>
      </c>
      <c r="I85" s="16" t="s">
        <v>286</v>
      </c>
      <c r="J85" s="16" t="s">
        <v>426</v>
      </c>
      <c r="K85" s="16" t="s">
        <v>427</v>
      </c>
      <c r="L85" s="17"/>
    </row>
    <row r="86" spans="1:12" ht="15" customHeight="1" x14ac:dyDescent="0.2">
      <c r="A86" s="20" t="s">
        <v>801</v>
      </c>
      <c r="B86" s="20" t="s">
        <v>94</v>
      </c>
      <c r="C86" s="20" t="s">
        <v>575</v>
      </c>
      <c r="D86" s="21" t="s">
        <v>802</v>
      </c>
      <c r="E86" s="21" t="s">
        <v>466</v>
      </c>
      <c r="F86" s="22">
        <v>11830</v>
      </c>
      <c r="G86" s="20" t="s">
        <v>423</v>
      </c>
      <c r="H86" s="21" t="s">
        <v>803</v>
      </c>
      <c r="I86" s="20" t="s">
        <v>425</v>
      </c>
      <c r="J86" s="20" t="s">
        <v>426</v>
      </c>
      <c r="K86" s="20" t="s">
        <v>427</v>
      </c>
      <c r="L86" s="21"/>
    </row>
    <row r="87" spans="1:12" ht="15" customHeight="1" x14ac:dyDescent="0.2">
      <c r="A87" s="16" t="s">
        <v>804</v>
      </c>
      <c r="B87" s="16" t="s">
        <v>805</v>
      </c>
      <c r="C87" s="16" t="s">
        <v>806</v>
      </c>
      <c r="D87" s="17" t="s">
        <v>807</v>
      </c>
      <c r="E87" s="17" t="s">
        <v>447</v>
      </c>
      <c r="F87" s="18">
        <v>26786</v>
      </c>
      <c r="G87" s="16" t="s">
        <v>423</v>
      </c>
      <c r="H87" s="17" t="s">
        <v>808</v>
      </c>
      <c r="I87" s="16" t="s">
        <v>433</v>
      </c>
      <c r="J87" s="16" t="s">
        <v>426</v>
      </c>
      <c r="K87" s="16" t="s">
        <v>427</v>
      </c>
      <c r="L87" s="17"/>
    </row>
    <row r="88" spans="1:12" ht="15" customHeight="1" x14ac:dyDescent="0.2">
      <c r="A88" s="20" t="s">
        <v>809</v>
      </c>
      <c r="B88" s="20" t="s">
        <v>810</v>
      </c>
      <c r="C88" s="20" t="s">
        <v>811</v>
      </c>
      <c r="D88" s="21" t="s">
        <v>812</v>
      </c>
      <c r="E88" s="21" t="s">
        <v>292</v>
      </c>
      <c r="F88" s="22">
        <v>18694</v>
      </c>
      <c r="G88" s="20" t="s">
        <v>540</v>
      </c>
      <c r="H88" s="21" t="s">
        <v>813</v>
      </c>
      <c r="I88" s="20" t="s">
        <v>286</v>
      </c>
      <c r="J88" s="20" t="s">
        <v>673</v>
      </c>
      <c r="K88" s="20" t="s">
        <v>427</v>
      </c>
      <c r="L88" s="21"/>
    </row>
    <row r="89" spans="1:12" ht="15" customHeight="1" x14ac:dyDescent="0.2">
      <c r="A89" s="16" t="s">
        <v>814</v>
      </c>
      <c r="B89" s="16" t="s">
        <v>815</v>
      </c>
      <c r="C89" s="16" t="s">
        <v>794</v>
      </c>
      <c r="D89" s="17" t="s">
        <v>816</v>
      </c>
      <c r="E89" s="17" t="s">
        <v>431</v>
      </c>
      <c r="F89" s="18">
        <v>26645</v>
      </c>
      <c r="G89" s="16" t="s">
        <v>671</v>
      </c>
      <c r="H89" s="17" t="s">
        <v>817</v>
      </c>
      <c r="I89" s="16" t="s">
        <v>438</v>
      </c>
      <c r="J89" s="16" t="s">
        <v>542</v>
      </c>
      <c r="K89" s="16" t="s">
        <v>427</v>
      </c>
      <c r="L89" s="17"/>
    </row>
    <row r="90" spans="1:12" ht="15" customHeight="1" x14ac:dyDescent="0.2">
      <c r="A90" s="20" t="s">
        <v>818</v>
      </c>
      <c r="B90" s="20" t="s">
        <v>819</v>
      </c>
      <c r="C90" s="20" t="s">
        <v>451</v>
      </c>
      <c r="D90" s="21" t="s">
        <v>820</v>
      </c>
      <c r="E90" s="21" t="s">
        <v>472</v>
      </c>
      <c r="F90" s="22">
        <v>14625</v>
      </c>
      <c r="G90" s="20" t="s">
        <v>423</v>
      </c>
      <c r="H90" s="21" t="s">
        <v>821</v>
      </c>
      <c r="I90" s="20" t="s">
        <v>433</v>
      </c>
      <c r="J90" s="20" t="s">
        <v>426</v>
      </c>
      <c r="K90" s="20" t="s">
        <v>427</v>
      </c>
      <c r="L90" s="21"/>
    </row>
    <row r="91" spans="1:12" ht="15" customHeight="1" x14ac:dyDescent="0.2">
      <c r="A91" s="16" t="s">
        <v>822</v>
      </c>
      <c r="B91" s="16" t="s">
        <v>197</v>
      </c>
      <c r="C91" s="16" t="s">
        <v>823</v>
      </c>
      <c r="D91" s="17" t="s">
        <v>824</v>
      </c>
      <c r="E91" s="17" t="s">
        <v>447</v>
      </c>
      <c r="F91" s="18">
        <v>22856</v>
      </c>
      <c r="G91" s="16" t="s">
        <v>423</v>
      </c>
      <c r="H91" s="17" t="s">
        <v>825</v>
      </c>
      <c r="I91" s="16" t="s">
        <v>425</v>
      </c>
      <c r="J91" s="16" t="s">
        <v>426</v>
      </c>
      <c r="K91" s="16" t="s">
        <v>427</v>
      </c>
      <c r="L91" s="17"/>
    </row>
    <row r="92" spans="1:12" ht="15" customHeight="1" x14ac:dyDescent="0.2">
      <c r="A92" s="20" t="s">
        <v>826</v>
      </c>
      <c r="B92" s="20" t="s">
        <v>132</v>
      </c>
      <c r="C92" s="20" t="s">
        <v>827</v>
      </c>
      <c r="D92" s="21" t="s">
        <v>828</v>
      </c>
      <c r="E92" s="21" t="s">
        <v>447</v>
      </c>
      <c r="F92" s="22">
        <v>48281</v>
      </c>
      <c r="G92" s="20" t="s">
        <v>423</v>
      </c>
      <c r="H92" s="21" t="s">
        <v>829</v>
      </c>
      <c r="I92" s="20" t="s">
        <v>425</v>
      </c>
      <c r="J92" s="20" t="s">
        <v>426</v>
      </c>
      <c r="K92" s="20" t="s">
        <v>427</v>
      </c>
      <c r="L92" s="21"/>
    </row>
    <row r="93" spans="1:12" ht="15" customHeight="1" x14ac:dyDescent="0.2">
      <c r="A93" s="16" t="s">
        <v>830</v>
      </c>
      <c r="B93" s="16" t="s">
        <v>223</v>
      </c>
      <c r="C93" s="16" t="s">
        <v>831</v>
      </c>
      <c r="D93" s="17" t="s">
        <v>832</v>
      </c>
      <c r="E93" s="17" t="s">
        <v>447</v>
      </c>
      <c r="F93" s="18">
        <v>42709</v>
      </c>
      <c r="G93" s="16" t="s">
        <v>423</v>
      </c>
      <c r="H93" s="17" t="s">
        <v>833</v>
      </c>
      <c r="I93" s="16" t="s">
        <v>438</v>
      </c>
      <c r="J93" s="16" t="s">
        <v>426</v>
      </c>
      <c r="K93" s="16" t="s">
        <v>427</v>
      </c>
      <c r="L93" s="17"/>
    </row>
    <row r="94" spans="1:12" ht="15" customHeight="1" x14ac:dyDescent="0.2">
      <c r="A94" s="20" t="s">
        <v>834</v>
      </c>
      <c r="B94" s="20" t="s">
        <v>208</v>
      </c>
      <c r="C94" s="20" t="s">
        <v>835</v>
      </c>
      <c r="D94" s="21" t="s">
        <v>836</v>
      </c>
      <c r="E94" s="21" t="s">
        <v>472</v>
      </c>
      <c r="F94" s="22">
        <v>32185</v>
      </c>
      <c r="G94" s="20" t="s">
        <v>423</v>
      </c>
      <c r="H94" s="21" t="s">
        <v>837</v>
      </c>
      <c r="I94" s="20" t="s">
        <v>425</v>
      </c>
      <c r="J94" s="20" t="s">
        <v>426</v>
      </c>
      <c r="K94" s="20" t="s">
        <v>427</v>
      </c>
      <c r="L94" s="21"/>
    </row>
    <row r="95" spans="1:12" ht="15" customHeight="1" x14ac:dyDescent="0.2">
      <c r="A95" s="16" t="s">
        <v>838</v>
      </c>
      <c r="B95" s="16" t="s">
        <v>839</v>
      </c>
      <c r="C95" s="16" t="s">
        <v>840</v>
      </c>
      <c r="D95" s="17" t="s">
        <v>841</v>
      </c>
      <c r="E95" s="17" t="s">
        <v>466</v>
      </c>
      <c r="F95" s="18">
        <v>29774</v>
      </c>
      <c r="G95" s="16" t="s">
        <v>423</v>
      </c>
      <c r="H95" s="17" t="s">
        <v>842</v>
      </c>
      <c r="I95" s="16" t="s">
        <v>438</v>
      </c>
      <c r="J95" s="16" t="s">
        <v>426</v>
      </c>
      <c r="K95" s="16" t="s">
        <v>427</v>
      </c>
      <c r="L95" s="17"/>
    </row>
    <row r="96" spans="1:12" ht="15" customHeight="1" x14ac:dyDescent="0.2">
      <c r="A96" s="20" t="s">
        <v>843</v>
      </c>
      <c r="B96" s="20" t="s">
        <v>94</v>
      </c>
      <c r="C96" s="20" t="s">
        <v>844</v>
      </c>
      <c r="D96" s="21" t="s">
        <v>845</v>
      </c>
      <c r="E96" s="21" t="s">
        <v>472</v>
      </c>
      <c r="F96" s="22">
        <v>1260</v>
      </c>
      <c r="G96" s="20" t="s">
        <v>423</v>
      </c>
      <c r="H96" s="21" t="s">
        <v>846</v>
      </c>
      <c r="I96" s="20" t="s">
        <v>286</v>
      </c>
      <c r="J96" s="20" t="s">
        <v>426</v>
      </c>
      <c r="K96" s="20" t="s">
        <v>427</v>
      </c>
      <c r="L96" s="21"/>
    </row>
    <row r="97" spans="1:12" ht="15" customHeight="1" x14ac:dyDescent="0.2">
      <c r="A97" s="16" t="s">
        <v>847</v>
      </c>
      <c r="B97" s="16" t="s">
        <v>223</v>
      </c>
      <c r="C97" s="16" t="s">
        <v>848</v>
      </c>
      <c r="D97" s="17" t="s">
        <v>849</v>
      </c>
      <c r="E97" s="17" t="s">
        <v>447</v>
      </c>
      <c r="F97" s="18">
        <v>49954</v>
      </c>
      <c r="G97" s="16" t="s">
        <v>423</v>
      </c>
      <c r="H97" s="17" t="s">
        <v>850</v>
      </c>
      <c r="I97" s="16" t="s">
        <v>438</v>
      </c>
      <c r="J97" s="16" t="s">
        <v>426</v>
      </c>
      <c r="K97" s="16" t="s">
        <v>427</v>
      </c>
      <c r="L97" s="17"/>
    </row>
    <row r="98" spans="1:12" ht="15" customHeight="1" x14ac:dyDescent="0.2">
      <c r="A98" s="20" t="s">
        <v>851</v>
      </c>
      <c r="B98" s="20" t="s">
        <v>165</v>
      </c>
      <c r="C98" s="20" t="s">
        <v>852</v>
      </c>
      <c r="D98" s="21" t="s">
        <v>853</v>
      </c>
      <c r="E98" s="21" t="s">
        <v>431</v>
      </c>
      <c r="F98" s="22">
        <v>46719</v>
      </c>
      <c r="G98" s="20" t="s">
        <v>423</v>
      </c>
      <c r="H98" s="21" t="s">
        <v>854</v>
      </c>
      <c r="I98" s="20" t="s">
        <v>433</v>
      </c>
      <c r="J98" s="20" t="s">
        <v>426</v>
      </c>
      <c r="K98" s="20" t="s">
        <v>427</v>
      </c>
      <c r="L98" s="21"/>
    </row>
    <row r="99" spans="1:12" ht="15" customHeight="1" x14ac:dyDescent="0.2">
      <c r="A99" s="16" t="s">
        <v>855</v>
      </c>
      <c r="B99" s="16" t="s">
        <v>317</v>
      </c>
      <c r="C99" s="16" t="s">
        <v>856</v>
      </c>
      <c r="D99" s="17" t="s">
        <v>857</v>
      </c>
      <c r="E99" s="17" t="s">
        <v>422</v>
      </c>
      <c r="F99" s="18">
        <v>34386</v>
      </c>
      <c r="G99" s="16" t="s">
        <v>423</v>
      </c>
      <c r="H99" s="17" t="s">
        <v>858</v>
      </c>
      <c r="I99" s="16" t="s">
        <v>425</v>
      </c>
      <c r="J99" s="16" t="s">
        <v>426</v>
      </c>
      <c r="K99" s="16" t="s">
        <v>427</v>
      </c>
      <c r="L99" s="17"/>
    </row>
    <row r="100" spans="1:12" ht="15" customHeight="1" x14ac:dyDescent="0.2">
      <c r="A100" s="44" t="s">
        <v>859</v>
      </c>
      <c r="B100" s="44" t="s">
        <v>59</v>
      </c>
      <c r="C100" s="44" t="s">
        <v>860</v>
      </c>
      <c r="D100" s="45" t="s">
        <v>861</v>
      </c>
      <c r="E100" s="45" t="s">
        <v>472</v>
      </c>
      <c r="F100" s="46">
        <v>24154</v>
      </c>
      <c r="G100" s="44" t="s">
        <v>423</v>
      </c>
      <c r="H100" s="45" t="s">
        <v>862</v>
      </c>
      <c r="I100" s="44" t="s">
        <v>433</v>
      </c>
      <c r="J100" s="44" t="s">
        <v>426</v>
      </c>
      <c r="K100" s="19" t="s">
        <v>534</v>
      </c>
      <c r="L100" s="45" t="s">
        <v>535</v>
      </c>
    </row>
    <row r="101" spans="1:12" ht="15" customHeight="1" x14ac:dyDescent="0.2">
      <c r="A101" s="44" t="s">
        <v>863</v>
      </c>
      <c r="B101" s="44" t="s">
        <v>172</v>
      </c>
      <c r="C101" s="44" t="s">
        <v>864</v>
      </c>
      <c r="D101" s="45" t="s">
        <v>865</v>
      </c>
      <c r="E101" s="45" t="s">
        <v>447</v>
      </c>
      <c r="F101" s="46">
        <v>64583</v>
      </c>
      <c r="G101" s="44" t="s">
        <v>671</v>
      </c>
      <c r="H101" s="45" t="s">
        <v>866</v>
      </c>
      <c r="I101" s="44" t="s">
        <v>433</v>
      </c>
      <c r="J101" s="44" t="s">
        <v>639</v>
      </c>
      <c r="K101" s="19" t="s">
        <v>534</v>
      </c>
      <c r="L101" s="45" t="s">
        <v>640</v>
      </c>
    </row>
    <row r="102" spans="1:12" ht="15" customHeight="1" x14ac:dyDescent="0.2">
      <c r="A102" s="20" t="s">
        <v>867</v>
      </c>
      <c r="B102" s="20" t="s">
        <v>81</v>
      </c>
      <c r="C102" s="20" t="s">
        <v>868</v>
      </c>
      <c r="D102" s="21" t="s">
        <v>869</v>
      </c>
      <c r="E102" s="21" t="s">
        <v>431</v>
      </c>
      <c r="F102" s="22">
        <v>2379</v>
      </c>
      <c r="G102" s="20" t="s">
        <v>423</v>
      </c>
      <c r="H102" s="21" t="s">
        <v>870</v>
      </c>
      <c r="I102" s="20" t="s">
        <v>286</v>
      </c>
      <c r="J102" s="20" t="s">
        <v>426</v>
      </c>
      <c r="K102" s="20" t="s">
        <v>427</v>
      </c>
      <c r="L102" s="21"/>
    </row>
    <row r="103" spans="1:12" ht="15" customHeight="1" x14ac:dyDescent="0.2">
      <c r="A103" s="16" t="s">
        <v>871</v>
      </c>
      <c r="B103" s="16" t="s">
        <v>312</v>
      </c>
      <c r="C103" s="16" t="s">
        <v>872</v>
      </c>
      <c r="D103" s="17" t="s">
        <v>873</v>
      </c>
      <c r="E103" s="17" t="s">
        <v>447</v>
      </c>
      <c r="F103" s="18">
        <v>45719</v>
      </c>
      <c r="G103" s="16" t="s">
        <v>423</v>
      </c>
      <c r="H103" s="17" t="s">
        <v>874</v>
      </c>
      <c r="I103" s="16" t="s">
        <v>433</v>
      </c>
      <c r="J103" s="16" t="s">
        <v>426</v>
      </c>
      <c r="K103" s="16" t="s">
        <v>427</v>
      </c>
      <c r="L103" s="17"/>
    </row>
    <row r="104" spans="1:12" ht="15" customHeight="1" x14ac:dyDescent="0.2">
      <c r="A104" s="20" t="s">
        <v>875</v>
      </c>
      <c r="B104" s="20" t="s">
        <v>181</v>
      </c>
      <c r="C104" s="20" t="s">
        <v>876</v>
      </c>
      <c r="D104" s="21" t="s">
        <v>877</v>
      </c>
      <c r="E104" s="21" t="s">
        <v>466</v>
      </c>
      <c r="F104" s="22">
        <v>49239</v>
      </c>
      <c r="G104" s="20" t="s">
        <v>423</v>
      </c>
      <c r="H104" s="21" t="s">
        <v>878</v>
      </c>
      <c r="I104" s="20" t="s">
        <v>433</v>
      </c>
      <c r="J104" s="20" t="s">
        <v>426</v>
      </c>
      <c r="K104" s="20" t="s">
        <v>427</v>
      </c>
      <c r="L104" s="21"/>
    </row>
    <row r="105" spans="1:12" ht="15" customHeight="1" x14ac:dyDescent="0.2">
      <c r="A105" s="16" t="s">
        <v>879</v>
      </c>
      <c r="B105" s="16" t="s">
        <v>100</v>
      </c>
      <c r="C105" s="16" t="s">
        <v>786</v>
      </c>
      <c r="D105" s="17" t="s">
        <v>880</v>
      </c>
      <c r="E105" s="17" t="s">
        <v>478</v>
      </c>
      <c r="F105" s="18">
        <v>44294</v>
      </c>
      <c r="G105" s="16" t="s">
        <v>505</v>
      </c>
      <c r="H105" s="17" t="s">
        <v>881</v>
      </c>
      <c r="I105" s="16" t="s">
        <v>449</v>
      </c>
      <c r="J105" s="16" t="s">
        <v>673</v>
      </c>
      <c r="K105" s="16" t="s">
        <v>427</v>
      </c>
      <c r="L105" s="17"/>
    </row>
    <row r="106" spans="1:12" ht="15" customHeight="1" x14ac:dyDescent="0.2">
      <c r="A106" s="44" t="s">
        <v>882</v>
      </c>
      <c r="B106" s="44" t="s">
        <v>77</v>
      </c>
      <c r="C106" s="44" t="s">
        <v>883</v>
      </c>
      <c r="D106" s="45" t="s">
        <v>884</v>
      </c>
      <c r="E106" s="45" t="s">
        <v>472</v>
      </c>
      <c r="F106" s="46">
        <v>8520</v>
      </c>
      <c r="G106" s="44" t="s">
        <v>423</v>
      </c>
      <c r="H106" s="45" t="s">
        <v>885</v>
      </c>
      <c r="I106" s="44" t="s">
        <v>425</v>
      </c>
      <c r="J106" s="44" t="s">
        <v>426</v>
      </c>
      <c r="K106" s="19" t="s">
        <v>534</v>
      </c>
      <c r="L106" s="45" t="s">
        <v>535</v>
      </c>
    </row>
    <row r="107" spans="1:12" ht="15" customHeight="1" x14ac:dyDescent="0.2">
      <c r="A107" s="16" t="s">
        <v>886</v>
      </c>
      <c r="B107" s="16" t="s">
        <v>734</v>
      </c>
      <c r="C107" s="16" t="s">
        <v>598</v>
      </c>
      <c r="D107" s="17" t="s">
        <v>887</v>
      </c>
      <c r="E107" s="17" t="s">
        <v>431</v>
      </c>
      <c r="F107" s="18">
        <v>21103</v>
      </c>
      <c r="G107" s="16" t="s">
        <v>423</v>
      </c>
      <c r="H107" s="17" t="s">
        <v>888</v>
      </c>
      <c r="I107" s="16" t="s">
        <v>433</v>
      </c>
      <c r="J107" s="16" t="s">
        <v>426</v>
      </c>
      <c r="K107" s="16" t="s">
        <v>427</v>
      </c>
      <c r="L107" s="17"/>
    </row>
    <row r="108" spans="1:12" ht="15" customHeight="1" x14ac:dyDescent="0.2">
      <c r="A108" s="20" t="s">
        <v>889</v>
      </c>
      <c r="B108" s="20" t="s">
        <v>455</v>
      </c>
      <c r="C108" s="20" t="s">
        <v>890</v>
      </c>
      <c r="D108" s="21" t="s">
        <v>891</v>
      </c>
      <c r="E108" s="21" t="s">
        <v>431</v>
      </c>
      <c r="F108" s="22">
        <v>10674</v>
      </c>
      <c r="G108" s="20" t="s">
        <v>423</v>
      </c>
      <c r="H108" s="21" t="s">
        <v>892</v>
      </c>
      <c r="I108" s="20" t="s">
        <v>449</v>
      </c>
      <c r="J108" s="20" t="s">
        <v>426</v>
      </c>
      <c r="K108" s="20" t="s">
        <v>427</v>
      </c>
      <c r="L108" s="21"/>
    </row>
    <row r="109" spans="1:12" ht="15" customHeight="1" x14ac:dyDescent="0.2">
      <c r="A109" s="16" t="s">
        <v>893</v>
      </c>
      <c r="B109" s="16" t="s">
        <v>894</v>
      </c>
      <c r="C109" s="16" t="s">
        <v>895</v>
      </c>
      <c r="D109" s="17" t="s">
        <v>896</v>
      </c>
      <c r="E109" s="17" t="s">
        <v>466</v>
      </c>
      <c r="F109" s="18">
        <v>38400</v>
      </c>
      <c r="G109" s="16" t="s">
        <v>423</v>
      </c>
      <c r="H109" s="17" t="s">
        <v>897</v>
      </c>
      <c r="I109" s="16" t="s">
        <v>433</v>
      </c>
      <c r="J109" s="16" t="s">
        <v>426</v>
      </c>
      <c r="K109" s="16" t="s">
        <v>427</v>
      </c>
      <c r="L109" s="17"/>
    </row>
    <row r="110" spans="1:12" ht="15" customHeight="1" x14ac:dyDescent="0.2">
      <c r="A110" s="44" t="s">
        <v>898</v>
      </c>
      <c r="B110" s="44" t="s">
        <v>631</v>
      </c>
      <c r="C110" s="44" t="s">
        <v>899</v>
      </c>
      <c r="D110" s="45" t="s">
        <v>900</v>
      </c>
      <c r="E110" s="45" t="s">
        <v>447</v>
      </c>
      <c r="F110" s="46">
        <v>90998</v>
      </c>
      <c r="G110" s="44" t="s">
        <v>423</v>
      </c>
      <c r="H110" s="45" t="s">
        <v>901</v>
      </c>
      <c r="I110" s="44" t="s">
        <v>449</v>
      </c>
      <c r="J110" s="44" t="s">
        <v>426</v>
      </c>
      <c r="K110" s="19" t="s">
        <v>534</v>
      </c>
      <c r="L110" s="45" t="s">
        <v>724</v>
      </c>
    </row>
    <row r="111" spans="1:12" ht="15" customHeight="1" x14ac:dyDescent="0.2">
      <c r="A111" s="16" t="s">
        <v>902</v>
      </c>
      <c r="B111" s="16" t="s">
        <v>650</v>
      </c>
      <c r="C111" s="16" t="s">
        <v>627</v>
      </c>
      <c r="D111" s="17" t="s">
        <v>903</v>
      </c>
      <c r="E111" s="17" t="s">
        <v>472</v>
      </c>
      <c r="F111" s="18">
        <v>40872</v>
      </c>
      <c r="G111" s="16" t="s">
        <v>423</v>
      </c>
      <c r="H111" s="17" t="s">
        <v>904</v>
      </c>
      <c r="I111" s="16" t="s">
        <v>425</v>
      </c>
      <c r="J111" s="16" t="s">
        <v>426</v>
      </c>
      <c r="K111" s="16" t="s">
        <v>427</v>
      </c>
      <c r="L111" s="17"/>
    </row>
    <row r="112" spans="1:12" ht="15" customHeight="1" x14ac:dyDescent="0.2">
      <c r="A112" s="20" t="s">
        <v>905</v>
      </c>
      <c r="B112" s="20" t="s">
        <v>906</v>
      </c>
      <c r="C112" s="20" t="s">
        <v>907</v>
      </c>
      <c r="D112" s="21" t="s">
        <v>908</v>
      </c>
      <c r="E112" s="21" t="s">
        <v>292</v>
      </c>
      <c r="F112" s="22">
        <v>49826</v>
      </c>
      <c r="G112" s="20" t="s">
        <v>423</v>
      </c>
      <c r="H112" s="21" t="s">
        <v>909</v>
      </c>
      <c r="I112" s="20" t="s">
        <v>425</v>
      </c>
      <c r="J112" s="20" t="s">
        <v>426</v>
      </c>
      <c r="K112" s="20" t="s">
        <v>427</v>
      </c>
      <c r="L112" s="21"/>
    </row>
    <row r="113" spans="1:12" ht="15" customHeight="1" x14ac:dyDescent="0.2">
      <c r="A113" s="16" t="s">
        <v>910</v>
      </c>
      <c r="B113" s="16" t="s">
        <v>911</v>
      </c>
      <c r="C113" s="16" t="s">
        <v>912</v>
      </c>
      <c r="D113" s="17" t="s">
        <v>913</v>
      </c>
      <c r="E113" s="17" t="s">
        <v>478</v>
      </c>
      <c r="F113" s="18">
        <v>46602</v>
      </c>
      <c r="G113" s="16" t="s">
        <v>423</v>
      </c>
      <c r="H113" s="17" t="s">
        <v>914</v>
      </c>
      <c r="I113" s="16" t="s">
        <v>438</v>
      </c>
      <c r="J113" s="16" t="s">
        <v>426</v>
      </c>
      <c r="K113" s="16" t="s">
        <v>427</v>
      </c>
      <c r="L113" s="17"/>
    </row>
    <row r="114" spans="1:12" ht="15" customHeight="1" x14ac:dyDescent="0.2">
      <c r="A114" s="20" t="s">
        <v>915</v>
      </c>
      <c r="B114" s="20" t="s">
        <v>911</v>
      </c>
      <c r="C114" s="20" t="s">
        <v>916</v>
      </c>
      <c r="D114" s="21" t="s">
        <v>917</v>
      </c>
      <c r="E114" s="21" t="s">
        <v>431</v>
      </c>
      <c r="F114" s="22">
        <v>6206</v>
      </c>
      <c r="G114" s="20" t="s">
        <v>423</v>
      </c>
      <c r="H114" s="21" t="s">
        <v>918</v>
      </c>
      <c r="I114" s="20" t="s">
        <v>449</v>
      </c>
      <c r="J114" s="20" t="s">
        <v>426</v>
      </c>
      <c r="K114" s="20" t="s">
        <v>427</v>
      </c>
      <c r="L114" s="21"/>
    </row>
    <row r="115" spans="1:12" ht="15" customHeight="1" x14ac:dyDescent="0.2">
      <c r="A115" s="16" t="s">
        <v>919</v>
      </c>
      <c r="B115" s="16" t="s">
        <v>175</v>
      </c>
      <c r="C115" s="16" t="s">
        <v>920</v>
      </c>
      <c r="D115" s="17" t="s">
        <v>921</v>
      </c>
      <c r="E115" s="17" t="s">
        <v>478</v>
      </c>
      <c r="F115" s="18">
        <v>47899</v>
      </c>
      <c r="G115" s="16" t="s">
        <v>423</v>
      </c>
      <c r="H115" s="17" t="s">
        <v>922</v>
      </c>
      <c r="I115" s="16" t="s">
        <v>449</v>
      </c>
      <c r="J115" s="16" t="s">
        <v>426</v>
      </c>
      <c r="K115" s="16" t="s">
        <v>427</v>
      </c>
      <c r="L115" s="17"/>
    </row>
    <row r="116" spans="1:12" ht="15" customHeight="1" x14ac:dyDescent="0.2">
      <c r="A116" s="20" t="s">
        <v>923</v>
      </c>
      <c r="B116" s="20" t="s">
        <v>353</v>
      </c>
      <c r="C116" s="20" t="s">
        <v>924</v>
      </c>
      <c r="D116" s="21" t="s">
        <v>925</v>
      </c>
      <c r="E116" s="21" t="s">
        <v>431</v>
      </c>
      <c r="F116" s="22">
        <v>12276</v>
      </c>
      <c r="G116" s="20" t="s">
        <v>540</v>
      </c>
      <c r="H116" s="21" t="s">
        <v>926</v>
      </c>
      <c r="I116" s="20" t="s">
        <v>286</v>
      </c>
      <c r="J116" s="20" t="s">
        <v>673</v>
      </c>
      <c r="K116" s="20" t="s">
        <v>427</v>
      </c>
      <c r="L116" s="21"/>
    </row>
    <row r="117" spans="1:12" ht="15" customHeight="1" x14ac:dyDescent="0.2">
      <c r="A117" s="16" t="s">
        <v>927</v>
      </c>
      <c r="B117" s="16" t="s">
        <v>59</v>
      </c>
      <c r="C117" s="16" t="s">
        <v>928</v>
      </c>
      <c r="D117" s="17" t="s">
        <v>929</v>
      </c>
      <c r="E117" s="17" t="s">
        <v>466</v>
      </c>
      <c r="F117" s="18">
        <v>39740</v>
      </c>
      <c r="G117" s="16" t="s">
        <v>423</v>
      </c>
      <c r="H117" s="17" t="s">
        <v>930</v>
      </c>
      <c r="I117" s="16" t="s">
        <v>433</v>
      </c>
      <c r="J117" s="16" t="s">
        <v>426</v>
      </c>
      <c r="K117" s="16" t="s">
        <v>427</v>
      </c>
      <c r="L117" s="17"/>
    </row>
    <row r="118" spans="1:12" ht="15" customHeight="1" x14ac:dyDescent="0.2">
      <c r="A118" s="20" t="s">
        <v>931</v>
      </c>
      <c r="B118" s="20" t="s">
        <v>77</v>
      </c>
      <c r="C118" s="20" t="s">
        <v>932</v>
      </c>
      <c r="D118" s="21" t="s">
        <v>933</v>
      </c>
      <c r="E118" s="21" t="s">
        <v>472</v>
      </c>
      <c r="F118" s="22">
        <v>40622</v>
      </c>
      <c r="G118" s="20" t="s">
        <v>423</v>
      </c>
      <c r="H118" s="21" t="s">
        <v>934</v>
      </c>
      <c r="I118" s="20" t="s">
        <v>425</v>
      </c>
      <c r="J118" s="20" t="s">
        <v>426</v>
      </c>
      <c r="K118" s="20" t="s">
        <v>427</v>
      </c>
      <c r="L118" s="21"/>
    </row>
    <row r="119" spans="1:12" ht="15" customHeight="1" x14ac:dyDescent="0.2">
      <c r="A119" s="16" t="s">
        <v>935</v>
      </c>
      <c r="B119" s="16" t="s">
        <v>455</v>
      </c>
      <c r="C119" s="16" t="s">
        <v>936</v>
      </c>
      <c r="D119" s="17" t="s">
        <v>937</v>
      </c>
      <c r="E119" s="17" t="s">
        <v>442</v>
      </c>
      <c r="F119" s="18">
        <v>8310</v>
      </c>
      <c r="G119" s="16" t="s">
        <v>423</v>
      </c>
      <c r="H119" s="17" t="s">
        <v>938</v>
      </c>
      <c r="I119" s="16" t="s">
        <v>286</v>
      </c>
      <c r="J119" s="16" t="s">
        <v>426</v>
      </c>
      <c r="K119" s="16" t="s">
        <v>427</v>
      </c>
      <c r="L119" s="17"/>
    </row>
    <row r="120" spans="1:12" ht="15" customHeight="1" x14ac:dyDescent="0.2">
      <c r="A120" s="20" t="s">
        <v>939</v>
      </c>
      <c r="B120" s="20" t="s">
        <v>165</v>
      </c>
      <c r="C120" s="20" t="s">
        <v>940</v>
      </c>
      <c r="D120" s="21" t="s">
        <v>941</v>
      </c>
      <c r="E120" s="21" t="s">
        <v>466</v>
      </c>
      <c r="F120" s="22">
        <v>16368</v>
      </c>
      <c r="G120" s="20" t="s">
        <v>423</v>
      </c>
      <c r="H120" s="21" t="s">
        <v>942</v>
      </c>
      <c r="I120" s="20" t="s">
        <v>449</v>
      </c>
      <c r="J120" s="20" t="s">
        <v>426</v>
      </c>
      <c r="K120" s="20" t="s">
        <v>427</v>
      </c>
      <c r="L120" s="21"/>
    </row>
    <row r="121" spans="1:12" ht="15" customHeight="1" x14ac:dyDescent="0.2">
      <c r="A121" s="16" t="s">
        <v>943</v>
      </c>
      <c r="B121" s="16" t="s">
        <v>779</v>
      </c>
      <c r="C121" s="16" t="s">
        <v>944</v>
      </c>
      <c r="D121" s="17" t="s">
        <v>945</v>
      </c>
      <c r="E121" s="17" t="s">
        <v>292</v>
      </c>
      <c r="F121" s="18">
        <v>18252</v>
      </c>
      <c r="G121" s="16" t="s">
        <v>540</v>
      </c>
      <c r="H121" s="17" t="s">
        <v>946</v>
      </c>
      <c r="I121" s="16" t="s">
        <v>438</v>
      </c>
      <c r="J121" s="16" t="s">
        <v>516</v>
      </c>
      <c r="K121" s="16" t="s">
        <v>427</v>
      </c>
      <c r="L121" s="17"/>
    </row>
    <row r="122" spans="1:12" ht="15" customHeight="1" x14ac:dyDescent="0.2">
      <c r="A122" s="20" t="s">
        <v>947</v>
      </c>
      <c r="B122" s="20" t="s">
        <v>339</v>
      </c>
      <c r="C122" s="20" t="s">
        <v>948</v>
      </c>
      <c r="D122" s="21" t="s">
        <v>949</v>
      </c>
      <c r="E122" s="21" t="s">
        <v>292</v>
      </c>
      <c r="F122" s="22">
        <v>34044</v>
      </c>
      <c r="G122" s="20" t="s">
        <v>423</v>
      </c>
      <c r="H122" s="21" t="s">
        <v>950</v>
      </c>
      <c r="I122" s="20" t="s">
        <v>425</v>
      </c>
      <c r="J122" s="20" t="s">
        <v>426</v>
      </c>
      <c r="K122" s="20" t="s">
        <v>427</v>
      </c>
      <c r="L122" s="21"/>
    </row>
    <row r="123" spans="1:12" ht="15" customHeight="1" x14ac:dyDescent="0.2">
      <c r="A123" s="16" t="s">
        <v>951</v>
      </c>
      <c r="B123" s="16" t="s">
        <v>73</v>
      </c>
      <c r="C123" s="16" t="s">
        <v>952</v>
      </c>
      <c r="D123" s="17" t="s">
        <v>953</v>
      </c>
      <c r="E123" s="17" t="s">
        <v>442</v>
      </c>
      <c r="F123" s="18">
        <v>38875</v>
      </c>
      <c r="G123" s="16" t="s">
        <v>423</v>
      </c>
      <c r="H123" s="17" t="s">
        <v>954</v>
      </c>
      <c r="I123" s="16" t="s">
        <v>438</v>
      </c>
      <c r="J123" s="16" t="s">
        <v>426</v>
      </c>
      <c r="K123" s="16" t="s">
        <v>427</v>
      </c>
      <c r="L123" s="17"/>
    </row>
    <row r="124" spans="1:12" ht="15" customHeight="1" x14ac:dyDescent="0.2">
      <c r="A124" s="20" t="s">
        <v>955</v>
      </c>
      <c r="B124" s="20" t="s">
        <v>956</v>
      </c>
      <c r="C124" s="20" t="s">
        <v>494</v>
      </c>
      <c r="D124" s="21" t="s">
        <v>957</v>
      </c>
      <c r="E124" s="21" t="s">
        <v>472</v>
      </c>
      <c r="F124" s="22">
        <v>3924</v>
      </c>
      <c r="G124" s="20" t="s">
        <v>423</v>
      </c>
      <c r="H124" s="21" t="s">
        <v>958</v>
      </c>
      <c r="I124" s="20" t="s">
        <v>438</v>
      </c>
      <c r="J124" s="20" t="s">
        <v>426</v>
      </c>
      <c r="K124" s="20" t="s">
        <v>427</v>
      </c>
      <c r="L124" s="21"/>
    </row>
    <row r="125" spans="1:12" ht="15" customHeight="1" x14ac:dyDescent="0.2">
      <c r="A125" s="16" t="s">
        <v>959</v>
      </c>
      <c r="B125" s="16" t="s">
        <v>353</v>
      </c>
      <c r="C125" s="16" t="s">
        <v>960</v>
      </c>
      <c r="D125" s="17" t="s">
        <v>961</v>
      </c>
      <c r="E125" s="17" t="s">
        <v>292</v>
      </c>
      <c r="F125" s="18">
        <v>37775</v>
      </c>
      <c r="G125" s="16" t="s">
        <v>423</v>
      </c>
      <c r="H125" s="17" t="s">
        <v>962</v>
      </c>
      <c r="I125" s="16" t="s">
        <v>433</v>
      </c>
      <c r="J125" s="16" t="s">
        <v>426</v>
      </c>
      <c r="K125" s="16" t="s">
        <v>427</v>
      </c>
      <c r="L125" s="17"/>
    </row>
    <row r="126" spans="1:12" ht="15" customHeight="1" x14ac:dyDescent="0.2">
      <c r="A126" s="20" t="s">
        <v>963</v>
      </c>
      <c r="B126" s="20" t="s">
        <v>659</v>
      </c>
      <c r="C126" s="20" t="s">
        <v>964</v>
      </c>
      <c r="D126" s="21" t="s">
        <v>965</v>
      </c>
      <c r="E126" s="21" t="s">
        <v>466</v>
      </c>
      <c r="F126" s="22">
        <v>15050</v>
      </c>
      <c r="G126" s="20" t="s">
        <v>540</v>
      </c>
      <c r="H126" s="21" t="s">
        <v>966</v>
      </c>
      <c r="I126" s="20" t="s">
        <v>433</v>
      </c>
      <c r="J126" s="20" t="s">
        <v>507</v>
      </c>
      <c r="K126" s="20" t="s">
        <v>427</v>
      </c>
      <c r="L126" s="21"/>
    </row>
    <row r="127" spans="1:12" ht="15" customHeight="1" x14ac:dyDescent="0.2">
      <c r="A127" s="16" t="s">
        <v>967</v>
      </c>
      <c r="B127" s="16" t="s">
        <v>734</v>
      </c>
      <c r="C127" s="16" t="s">
        <v>835</v>
      </c>
      <c r="D127" s="17" t="s">
        <v>968</v>
      </c>
      <c r="E127" s="17" t="s">
        <v>466</v>
      </c>
      <c r="F127" s="18">
        <v>11839</v>
      </c>
      <c r="G127" s="16" t="s">
        <v>423</v>
      </c>
      <c r="H127" s="17" t="s">
        <v>969</v>
      </c>
      <c r="I127" s="16" t="s">
        <v>286</v>
      </c>
      <c r="J127" s="16" t="s">
        <v>426</v>
      </c>
      <c r="K127" s="16" t="s">
        <v>427</v>
      </c>
      <c r="L127" s="17"/>
    </row>
    <row r="128" spans="1:12" ht="15" customHeight="1" x14ac:dyDescent="0.2">
      <c r="A128" s="44" t="s">
        <v>970</v>
      </c>
      <c r="B128" s="44" t="s">
        <v>779</v>
      </c>
      <c r="C128" s="44" t="s">
        <v>971</v>
      </c>
      <c r="D128" s="45" t="s">
        <v>972</v>
      </c>
      <c r="E128" s="45" t="s">
        <v>472</v>
      </c>
      <c r="F128" s="46">
        <v>25685</v>
      </c>
      <c r="G128" s="44" t="s">
        <v>423</v>
      </c>
      <c r="H128" s="45" t="s">
        <v>973</v>
      </c>
      <c r="I128" s="44" t="s">
        <v>449</v>
      </c>
      <c r="J128" s="44" t="s">
        <v>426</v>
      </c>
      <c r="K128" s="19" t="s">
        <v>534</v>
      </c>
      <c r="L128" s="45" t="s">
        <v>667</v>
      </c>
    </row>
    <row r="129" spans="1:12" ht="15" customHeight="1" x14ac:dyDescent="0.2">
      <c r="A129" s="16" t="s">
        <v>974</v>
      </c>
      <c r="B129" s="16" t="s">
        <v>155</v>
      </c>
      <c r="C129" s="16" t="s">
        <v>975</v>
      </c>
      <c r="D129" s="17" t="s">
        <v>976</v>
      </c>
      <c r="E129" s="17" t="s">
        <v>442</v>
      </c>
      <c r="F129" s="18">
        <v>24880</v>
      </c>
      <c r="G129" s="16" t="s">
        <v>423</v>
      </c>
      <c r="H129" s="17" t="s">
        <v>977</v>
      </c>
      <c r="I129" s="16" t="s">
        <v>438</v>
      </c>
      <c r="J129" s="16" t="s">
        <v>426</v>
      </c>
      <c r="K129" s="16" t="s">
        <v>427</v>
      </c>
      <c r="L129" s="17"/>
    </row>
    <row r="130" spans="1:12" ht="15" customHeight="1" x14ac:dyDescent="0.2">
      <c r="A130" s="20" t="s">
        <v>978</v>
      </c>
      <c r="B130" s="20" t="s">
        <v>111</v>
      </c>
      <c r="C130" s="20" t="s">
        <v>979</v>
      </c>
      <c r="D130" s="21" t="s">
        <v>980</v>
      </c>
      <c r="E130" s="21" t="s">
        <v>447</v>
      </c>
      <c r="F130" s="22">
        <v>44075</v>
      </c>
      <c r="G130" s="20" t="s">
        <v>540</v>
      </c>
      <c r="H130" s="21" t="s">
        <v>981</v>
      </c>
      <c r="I130" s="20" t="s">
        <v>433</v>
      </c>
      <c r="J130" s="20" t="s">
        <v>507</v>
      </c>
      <c r="K130" s="20" t="s">
        <v>427</v>
      </c>
      <c r="L130" s="21"/>
    </row>
    <row r="131" spans="1:12" ht="15" customHeight="1" x14ac:dyDescent="0.2">
      <c r="A131" s="16" t="s">
        <v>982</v>
      </c>
      <c r="B131" s="16" t="s">
        <v>983</v>
      </c>
      <c r="C131" s="16" t="s">
        <v>984</v>
      </c>
      <c r="D131" s="17" t="s">
        <v>985</v>
      </c>
      <c r="E131" s="17" t="s">
        <v>292</v>
      </c>
      <c r="F131" s="18">
        <v>39022</v>
      </c>
      <c r="G131" s="16" t="s">
        <v>423</v>
      </c>
      <c r="H131" s="17" t="s">
        <v>986</v>
      </c>
      <c r="I131" s="16" t="s">
        <v>438</v>
      </c>
      <c r="J131" s="16" t="s">
        <v>426</v>
      </c>
      <c r="K131" s="16" t="s">
        <v>427</v>
      </c>
      <c r="L131" s="17"/>
    </row>
    <row r="132" spans="1:12" ht="15" customHeight="1" x14ac:dyDescent="0.2">
      <c r="A132" s="20" t="s">
        <v>987</v>
      </c>
      <c r="B132" s="20" t="s">
        <v>181</v>
      </c>
      <c r="C132" s="20" t="s">
        <v>988</v>
      </c>
      <c r="D132" s="21" t="s">
        <v>989</v>
      </c>
      <c r="E132" s="21" t="s">
        <v>431</v>
      </c>
      <c r="F132" s="22">
        <v>11070</v>
      </c>
      <c r="G132" s="20" t="s">
        <v>423</v>
      </c>
      <c r="H132" s="21" t="s">
        <v>990</v>
      </c>
      <c r="I132" s="20" t="s">
        <v>449</v>
      </c>
      <c r="J132" s="20" t="s">
        <v>426</v>
      </c>
      <c r="K132" s="20" t="s">
        <v>427</v>
      </c>
      <c r="L132" s="21"/>
    </row>
    <row r="133" spans="1:12" ht="15" customHeight="1" x14ac:dyDescent="0.2">
      <c r="A133" s="16" t="s">
        <v>991</v>
      </c>
      <c r="B133" s="16" t="s">
        <v>139</v>
      </c>
      <c r="C133" s="16" t="s">
        <v>992</v>
      </c>
      <c r="D133" s="17" t="s">
        <v>491</v>
      </c>
      <c r="E133" s="17" t="s">
        <v>431</v>
      </c>
      <c r="F133" s="18">
        <v>14815</v>
      </c>
      <c r="G133" s="16" t="s">
        <v>423</v>
      </c>
      <c r="H133" s="17" t="s">
        <v>993</v>
      </c>
      <c r="I133" s="16" t="s">
        <v>433</v>
      </c>
      <c r="J133" s="16" t="s">
        <v>426</v>
      </c>
      <c r="K133" s="16" t="s">
        <v>427</v>
      </c>
      <c r="L133" s="17"/>
    </row>
    <row r="134" spans="1:12" ht="15" customHeight="1" x14ac:dyDescent="0.2">
      <c r="A134" s="20" t="s">
        <v>994</v>
      </c>
      <c r="B134" s="20" t="s">
        <v>178</v>
      </c>
      <c r="C134" s="20" t="s">
        <v>995</v>
      </c>
      <c r="D134" s="21" t="s">
        <v>996</v>
      </c>
      <c r="E134" s="21" t="s">
        <v>478</v>
      </c>
      <c r="F134" s="22">
        <v>25505</v>
      </c>
      <c r="G134" s="20" t="s">
        <v>423</v>
      </c>
      <c r="H134" s="21" t="s">
        <v>997</v>
      </c>
      <c r="I134" s="20" t="s">
        <v>449</v>
      </c>
      <c r="J134" s="20" t="s">
        <v>426</v>
      </c>
      <c r="K134" s="20" t="s">
        <v>427</v>
      </c>
      <c r="L134" s="21"/>
    </row>
    <row r="135" spans="1:12" ht="15" customHeight="1" x14ac:dyDescent="0.2">
      <c r="A135" s="16" t="s">
        <v>998</v>
      </c>
      <c r="B135" s="16" t="s">
        <v>610</v>
      </c>
      <c r="C135" s="16" t="s">
        <v>999</v>
      </c>
      <c r="D135" s="17" t="s">
        <v>1000</v>
      </c>
      <c r="E135" s="17" t="s">
        <v>466</v>
      </c>
      <c r="F135" s="18">
        <v>5966</v>
      </c>
      <c r="G135" s="16" t="s">
        <v>423</v>
      </c>
      <c r="H135" s="17" t="s">
        <v>1001</v>
      </c>
      <c r="I135" s="16" t="s">
        <v>449</v>
      </c>
      <c r="J135" s="16" t="s">
        <v>426</v>
      </c>
      <c r="K135" s="16" t="s">
        <v>427</v>
      </c>
      <c r="L135" s="17"/>
    </row>
    <row r="136" spans="1:12" ht="15" customHeight="1" x14ac:dyDescent="0.2">
      <c r="A136" s="20" t="s">
        <v>1002</v>
      </c>
      <c r="B136" s="20" t="s">
        <v>734</v>
      </c>
      <c r="C136" s="20" t="s">
        <v>852</v>
      </c>
      <c r="D136" s="21" t="s">
        <v>1003</v>
      </c>
      <c r="E136" s="21" t="s">
        <v>478</v>
      </c>
      <c r="F136" s="22">
        <v>26675</v>
      </c>
      <c r="G136" s="20" t="s">
        <v>423</v>
      </c>
      <c r="H136" s="21" t="s">
        <v>1004</v>
      </c>
      <c r="I136" s="20" t="s">
        <v>449</v>
      </c>
      <c r="J136" s="20" t="s">
        <v>426</v>
      </c>
      <c r="K136" s="20" t="s">
        <v>427</v>
      </c>
      <c r="L136" s="21"/>
    </row>
    <row r="137" spans="1:12" ht="15" customHeight="1" x14ac:dyDescent="0.2">
      <c r="A137" s="16" t="s">
        <v>1005</v>
      </c>
      <c r="B137" s="16" t="s">
        <v>769</v>
      </c>
      <c r="C137" s="16" t="s">
        <v>1006</v>
      </c>
      <c r="D137" s="17" t="s">
        <v>1007</v>
      </c>
      <c r="E137" s="17" t="s">
        <v>472</v>
      </c>
      <c r="F137" s="18">
        <v>28794</v>
      </c>
      <c r="G137" s="16" t="s">
        <v>540</v>
      </c>
      <c r="H137" s="17" t="s">
        <v>1008</v>
      </c>
      <c r="I137" s="16" t="s">
        <v>438</v>
      </c>
      <c r="J137" s="16" t="s">
        <v>516</v>
      </c>
      <c r="K137" s="16" t="s">
        <v>427</v>
      </c>
      <c r="L137" s="17"/>
    </row>
    <row r="138" spans="1:12" ht="15" customHeight="1" x14ac:dyDescent="0.2">
      <c r="A138" s="44" t="s">
        <v>1009</v>
      </c>
      <c r="B138" s="44" t="s">
        <v>839</v>
      </c>
      <c r="C138" s="44" t="s">
        <v>1010</v>
      </c>
      <c r="D138" s="45" t="s">
        <v>1011</v>
      </c>
      <c r="E138" s="45" t="s">
        <v>442</v>
      </c>
      <c r="F138" s="46">
        <v>16791</v>
      </c>
      <c r="G138" s="44" t="s">
        <v>423</v>
      </c>
      <c r="H138" s="45" t="s">
        <v>1012</v>
      </c>
      <c r="I138" s="44" t="s">
        <v>286</v>
      </c>
      <c r="J138" s="44" t="s">
        <v>426</v>
      </c>
      <c r="K138" s="19" t="s">
        <v>534</v>
      </c>
      <c r="L138" s="45" t="s">
        <v>667</v>
      </c>
    </row>
    <row r="139" spans="1:12" ht="15" customHeight="1" x14ac:dyDescent="0.2">
      <c r="A139" s="16" t="s">
        <v>1013</v>
      </c>
      <c r="B139" s="16" t="s">
        <v>894</v>
      </c>
      <c r="C139" s="16" t="s">
        <v>1014</v>
      </c>
      <c r="D139" s="17" t="s">
        <v>1015</v>
      </c>
      <c r="E139" s="17" t="s">
        <v>431</v>
      </c>
      <c r="F139" s="18">
        <v>32662</v>
      </c>
      <c r="G139" s="16" t="s">
        <v>505</v>
      </c>
      <c r="H139" s="17" t="s">
        <v>1016</v>
      </c>
      <c r="I139" s="16" t="s">
        <v>425</v>
      </c>
      <c r="J139" s="16" t="s">
        <v>507</v>
      </c>
      <c r="K139" s="16" t="s">
        <v>427</v>
      </c>
      <c r="L139" s="17"/>
    </row>
    <row r="140" spans="1:12" ht="15" customHeight="1" x14ac:dyDescent="0.2">
      <c r="A140" s="44" t="s">
        <v>1017</v>
      </c>
      <c r="B140" s="44" t="s">
        <v>1018</v>
      </c>
      <c r="C140" s="44" t="s">
        <v>1019</v>
      </c>
      <c r="D140" s="45" t="s">
        <v>1020</v>
      </c>
      <c r="E140" s="45" t="s">
        <v>478</v>
      </c>
      <c r="F140" s="46">
        <v>193167</v>
      </c>
      <c r="G140" s="44" t="s">
        <v>423</v>
      </c>
      <c r="H140" s="45" t="s">
        <v>1021</v>
      </c>
      <c r="I140" s="44" t="s">
        <v>286</v>
      </c>
      <c r="J140" s="44" t="s">
        <v>426</v>
      </c>
      <c r="K140" s="19" t="s">
        <v>534</v>
      </c>
      <c r="L140" s="45" t="s">
        <v>724</v>
      </c>
    </row>
    <row r="141" spans="1:12" ht="15" customHeight="1" x14ac:dyDescent="0.2">
      <c r="A141" s="16" t="s">
        <v>1022</v>
      </c>
      <c r="B141" s="16" t="s">
        <v>94</v>
      </c>
      <c r="C141" s="16" t="s">
        <v>651</v>
      </c>
      <c r="D141" s="17" t="s">
        <v>1023</v>
      </c>
      <c r="E141" s="17" t="s">
        <v>422</v>
      </c>
      <c r="F141" s="18">
        <v>42973</v>
      </c>
      <c r="G141" s="16" t="s">
        <v>423</v>
      </c>
      <c r="H141" s="17" t="s">
        <v>1024</v>
      </c>
      <c r="I141" s="16" t="s">
        <v>438</v>
      </c>
      <c r="J141" s="16" t="s">
        <v>426</v>
      </c>
      <c r="K141" s="16" t="s">
        <v>427</v>
      </c>
      <c r="L141" s="17"/>
    </row>
    <row r="142" spans="1:12" ht="15" customHeight="1" x14ac:dyDescent="0.2">
      <c r="A142" s="20" t="s">
        <v>1025</v>
      </c>
      <c r="B142" s="20" t="s">
        <v>165</v>
      </c>
      <c r="C142" s="20" t="s">
        <v>1026</v>
      </c>
      <c r="D142" s="21" t="s">
        <v>1027</v>
      </c>
      <c r="E142" s="21" t="s">
        <v>472</v>
      </c>
      <c r="F142" s="22">
        <v>38830</v>
      </c>
      <c r="G142" s="20" t="s">
        <v>505</v>
      </c>
      <c r="H142" s="21" t="s">
        <v>1028</v>
      </c>
      <c r="I142" s="20" t="s">
        <v>449</v>
      </c>
      <c r="J142" s="20" t="s">
        <v>516</v>
      </c>
      <c r="K142" s="20" t="s">
        <v>427</v>
      </c>
      <c r="L142" s="21"/>
    </row>
    <row r="143" spans="1:12" ht="15" customHeight="1" x14ac:dyDescent="0.2">
      <c r="A143" s="16" t="s">
        <v>1029</v>
      </c>
      <c r="B143" s="16" t="s">
        <v>317</v>
      </c>
      <c r="C143" s="16" t="s">
        <v>1030</v>
      </c>
      <c r="D143" s="17" t="s">
        <v>1031</v>
      </c>
      <c r="E143" s="17" t="s">
        <v>442</v>
      </c>
      <c r="F143" s="18">
        <v>21162</v>
      </c>
      <c r="G143" s="16" t="s">
        <v>505</v>
      </c>
      <c r="H143" s="17" t="s">
        <v>1032</v>
      </c>
      <c r="I143" s="16" t="s">
        <v>449</v>
      </c>
      <c r="J143" s="16" t="s">
        <v>542</v>
      </c>
      <c r="K143" s="16" t="s">
        <v>427</v>
      </c>
      <c r="L143" s="17"/>
    </row>
    <row r="144" spans="1:12" ht="15" customHeight="1" x14ac:dyDescent="0.2">
      <c r="A144" s="20" t="s">
        <v>1033</v>
      </c>
      <c r="B144" s="20" t="s">
        <v>626</v>
      </c>
      <c r="C144" s="20" t="s">
        <v>1034</v>
      </c>
      <c r="D144" s="21" t="s">
        <v>1035</v>
      </c>
      <c r="E144" s="21" t="s">
        <v>466</v>
      </c>
      <c r="F144" s="22">
        <v>24705</v>
      </c>
      <c r="G144" s="20" t="s">
        <v>423</v>
      </c>
      <c r="H144" s="21" t="s">
        <v>1036</v>
      </c>
      <c r="I144" s="20" t="s">
        <v>286</v>
      </c>
      <c r="J144" s="20" t="s">
        <v>426</v>
      </c>
      <c r="K144" s="20" t="s">
        <v>427</v>
      </c>
      <c r="L144" s="21"/>
    </row>
    <row r="145" spans="1:12" ht="15" customHeight="1" x14ac:dyDescent="0.2">
      <c r="A145" s="16" t="s">
        <v>1037</v>
      </c>
      <c r="B145" s="16" t="s">
        <v>739</v>
      </c>
      <c r="C145" s="16" t="s">
        <v>1038</v>
      </c>
      <c r="D145" s="17" t="s">
        <v>1039</v>
      </c>
      <c r="E145" s="17" t="s">
        <v>466</v>
      </c>
      <c r="F145" s="18">
        <v>2869</v>
      </c>
      <c r="G145" s="16" t="s">
        <v>423</v>
      </c>
      <c r="H145" s="17" t="s">
        <v>1040</v>
      </c>
      <c r="I145" s="16" t="s">
        <v>286</v>
      </c>
      <c r="J145" s="16" t="s">
        <v>426</v>
      </c>
      <c r="K145" s="16" t="s">
        <v>427</v>
      </c>
      <c r="L145" s="17"/>
    </row>
    <row r="146" spans="1:12" ht="15" customHeight="1" x14ac:dyDescent="0.2">
      <c r="A146" s="20" t="s">
        <v>1041</v>
      </c>
      <c r="B146" s="20" t="s">
        <v>100</v>
      </c>
      <c r="C146" s="20" t="s">
        <v>1042</v>
      </c>
      <c r="D146" s="21" t="s">
        <v>1043</v>
      </c>
      <c r="E146" s="21" t="s">
        <v>447</v>
      </c>
      <c r="F146" s="22">
        <v>2890</v>
      </c>
      <c r="G146" s="20" t="s">
        <v>423</v>
      </c>
      <c r="H146" s="21" t="s">
        <v>1044</v>
      </c>
      <c r="I146" s="20" t="s">
        <v>433</v>
      </c>
      <c r="J146" s="20" t="s">
        <v>426</v>
      </c>
      <c r="K146" s="20" t="s">
        <v>427</v>
      </c>
      <c r="L146" s="21"/>
    </row>
    <row r="147" spans="1:12" ht="15" customHeight="1" x14ac:dyDescent="0.2">
      <c r="A147" s="16" t="s">
        <v>1045</v>
      </c>
      <c r="B147" s="16" t="s">
        <v>1046</v>
      </c>
      <c r="C147" s="16" t="s">
        <v>1047</v>
      </c>
      <c r="D147" s="17" t="s">
        <v>1048</v>
      </c>
      <c r="E147" s="17" t="s">
        <v>478</v>
      </c>
      <c r="F147" s="18">
        <v>35239</v>
      </c>
      <c r="G147" s="16" t="s">
        <v>423</v>
      </c>
      <c r="H147" s="17" t="s">
        <v>1049</v>
      </c>
      <c r="I147" s="16" t="s">
        <v>286</v>
      </c>
      <c r="J147" s="16" t="s">
        <v>426</v>
      </c>
      <c r="K147" s="16" t="s">
        <v>427</v>
      </c>
      <c r="L147" s="17"/>
    </row>
    <row r="148" spans="1:12" ht="15" customHeight="1" x14ac:dyDescent="0.2">
      <c r="A148" s="20" t="s">
        <v>1050</v>
      </c>
      <c r="B148" s="20" t="s">
        <v>839</v>
      </c>
      <c r="C148" s="20" t="s">
        <v>1051</v>
      </c>
      <c r="D148" s="21" t="s">
        <v>1052</v>
      </c>
      <c r="E148" s="21" t="s">
        <v>478</v>
      </c>
      <c r="F148" s="22">
        <v>47168</v>
      </c>
      <c r="G148" s="20" t="s">
        <v>423</v>
      </c>
      <c r="H148" s="21" t="s">
        <v>1053</v>
      </c>
      <c r="I148" s="20" t="s">
        <v>286</v>
      </c>
      <c r="J148" s="20" t="s">
        <v>426</v>
      </c>
      <c r="K148" s="20" t="s">
        <v>427</v>
      </c>
      <c r="L148" s="21"/>
    </row>
    <row r="149" spans="1:12" ht="15" customHeight="1" x14ac:dyDescent="0.2">
      <c r="A149" s="16" t="s">
        <v>1054</v>
      </c>
      <c r="B149" s="16" t="s">
        <v>317</v>
      </c>
      <c r="C149" s="16" t="s">
        <v>1055</v>
      </c>
      <c r="D149" s="17" t="s">
        <v>1056</v>
      </c>
      <c r="E149" s="17" t="s">
        <v>466</v>
      </c>
      <c r="F149" s="18">
        <v>42447</v>
      </c>
      <c r="G149" s="16" t="s">
        <v>423</v>
      </c>
      <c r="H149" s="17" t="s">
        <v>1057</v>
      </c>
      <c r="I149" s="16" t="s">
        <v>425</v>
      </c>
      <c r="J149" s="16" t="s">
        <v>426</v>
      </c>
      <c r="K149" s="16" t="s">
        <v>427</v>
      </c>
      <c r="L149" s="17"/>
    </row>
    <row r="150" spans="1:12" ht="15" customHeight="1" x14ac:dyDescent="0.2">
      <c r="A150" s="20" t="s">
        <v>1058</v>
      </c>
      <c r="B150" s="20" t="s">
        <v>626</v>
      </c>
      <c r="C150" s="20" t="s">
        <v>1059</v>
      </c>
      <c r="D150" s="21" t="s">
        <v>1060</v>
      </c>
      <c r="E150" s="21" t="s">
        <v>447</v>
      </c>
      <c r="F150" s="22">
        <v>37620</v>
      </c>
      <c r="G150" s="20" t="s">
        <v>423</v>
      </c>
      <c r="H150" s="21" t="s">
        <v>1061</v>
      </c>
      <c r="I150" s="20" t="s">
        <v>286</v>
      </c>
      <c r="J150" s="20" t="s">
        <v>426</v>
      </c>
      <c r="K150" s="20" t="s">
        <v>427</v>
      </c>
      <c r="L150" s="21"/>
    </row>
    <row r="151" spans="1:12" ht="15" customHeight="1" x14ac:dyDescent="0.2">
      <c r="A151" s="16" t="s">
        <v>1062</v>
      </c>
      <c r="B151" s="16" t="s">
        <v>983</v>
      </c>
      <c r="C151" s="16" t="s">
        <v>1019</v>
      </c>
      <c r="D151" s="17" t="s">
        <v>1063</v>
      </c>
      <c r="E151" s="17" t="s">
        <v>422</v>
      </c>
      <c r="F151" s="18">
        <v>21377</v>
      </c>
      <c r="G151" s="16" t="s">
        <v>423</v>
      </c>
      <c r="H151" s="17" t="s">
        <v>1064</v>
      </c>
      <c r="I151" s="16" t="s">
        <v>425</v>
      </c>
      <c r="J151" s="16" t="s">
        <v>426</v>
      </c>
      <c r="K151" s="16" t="s">
        <v>427</v>
      </c>
      <c r="L151" s="17"/>
    </row>
    <row r="152" spans="1:12" ht="15" customHeight="1" x14ac:dyDescent="0.2">
      <c r="A152" s="20" t="s">
        <v>1065</v>
      </c>
      <c r="B152" s="20" t="s">
        <v>356</v>
      </c>
      <c r="C152" s="20" t="s">
        <v>594</v>
      </c>
      <c r="D152" s="21" t="s">
        <v>1066</v>
      </c>
      <c r="E152" s="21" t="s">
        <v>472</v>
      </c>
      <c r="F152" s="22">
        <v>29008</v>
      </c>
      <c r="G152" s="20" t="s">
        <v>423</v>
      </c>
      <c r="H152" s="21" t="s">
        <v>1067</v>
      </c>
      <c r="I152" s="20" t="s">
        <v>438</v>
      </c>
      <c r="J152" s="20" t="s">
        <v>426</v>
      </c>
      <c r="K152" s="20" t="s">
        <v>427</v>
      </c>
      <c r="L152" s="21"/>
    </row>
    <row r="153" spans="1:12" ht="15" customHeight="1" x14ac:dyDescent="0.2">
      <c r="A153" s="16" t="s">
        <v>1068</v>
      </c>
      <c r="B153" s="16" t="s">
        <v>1069</v>
      </c>
      <c r="C153" s="16" t="s">
        <v>928</v>
      </c>
      <c r="D153" s="17" t="s">
        <v>1070</v>
      </c>
      <c r="E153" s="17" t="s">
        <v>442</v>
      </c>
      <c r="F153" s="18">
        <v>9756</v>
      </c>
      <c r="G153" s="16" t="s">
        <v>423</v>
      </c>
      <c r="H153" s="17" t="s">
        <v>1071</v>
      </c>
      <c r="I153" s="16" t="s">
        <v>438</v>
      </c>
      <c r="J153" s="16" t="s">
        <v>426</v>
      </c>
      <c r="K153" s="16" t="s">
        <v>427</v>
      </c>
      <c r="L153" s="17"/>
    </row>
    <row r="154" spans="1:12" ht="15" customHeight="1" x14ac:dyDescent="0.2">
      <c r="A154" s="20" t="s">
        <v>1072</v>
      </c>
      <c r="B154" s="20" t="s">
        <v>297</v>
      </c>
      <c r="C154" s="20" t="s">
        <v>1047</v>
      </c>
      <c r="D154" s="21" t="s">
        <v>1073</v>
      </c>
      <c r="E154" s="21" t="s">
        <v>466</v>
      </c>
      <c r="F154" s="22">
        <v>10213</v>
      </c>
      <c r="G154" s="20" t="s">
        <v>423</v>
      </c>
      <c r="H154" s="21" t="s">
        <v>1074</v>
      </c>
      <c r="I154" s="20" t="s">
        <v>433</v>
      </c>
      <c r="J154" s="20" t="s">
        <v>426</v>
      </c>
      <c r="K154" s="20" t="s">
        <v>427</v>
      </c>
      <c r="L154" s="21"/>
    </row>
    <row r="155" spans="1:12" ht="15" customHeight="1" x14ac:dyDescent="0.2">
      <c r="A155" s="16" t="s">
        <v>1075</v>
      </c>
      <c r="B155" s="16" t="s">
        <v>142</v>
      </c>
      <c r="C155" s="16" t="s">
        <v>1076</v>
      </c>
      <c r="D155" s="17" t="s">
        <v>1077</v>
      </c>
      <c r="E155" s="17" t="s">
        <v>478</v>
      </c>
      <c r="F155" s="18">
        <v>29140</v>
      </c>
      <c r="G155" s="16" t="s">
        <v>671</v>
      </c>
      <c r="H155" s="17" t="s">
        <v>1078</v>
      </c>
      <c r="I155" s="16" t="s">
        <v>438</v>
      </c>
      <c r="J155" s="16" t="s">
        <v>507</v>
      </c>
      <c r="K155" s="16" t="s">
        <v>427</v>
      </c>
      <c r="L155" s="17"/>
    </row>
    <row r="156" spans="1:12" ht="15" customHeight="1" x14ac:dyDescent="0.2">
      <c r="A156" s="44" t="s">
        <v>1079</v>
      </c>
      <c r="B156" s="44" t="s">
        <v>247</v>
      </c>
      <c r="C156" s="44" t="s">
        <v>1080</v>
      </c>
      <c r="D156" s="45" t="s">
        <v>1081</v>
      </c>
      <c r="E156" s="45" t="s">
        <v>442</v>
      </c>
      <c r="F156" s="46">
        <v>591634</v>
      </c>
      <c r="G156" s="44" t="s">
        <v>423</v>
      </c>
      <c r="H156" s="45" t="s">
        <v>1082</v>
      </c>
      <c r="I156" s="44" t="s">
        <v>433</v>
      </c>
      <c r="J156" s="44" t="s">
        <v>426</v>
      </c>
      <c r="K156" s="19" t="s">
        <v>534</v>
      </c>
      <c r="L156" s="45" t="s">
        <v>718</v>
      </c>
    </row>
    <row r="157" spans="1:12" ht="15" customHeight="1" x14ac:dyDescent="0.2">
      <c r="A157" s="16" t="s">
        <v>1083</v>
      </c>
      <c r="B157" s="16" t="s">
        <v>455</v>
      </c>
      <c r="C157" s="16" t="s">
        <v>1084</v>
      </c>
      <c r="D157" s="17" t="s">
        <v>1085</v>
      </c>
      <c r="E157" s="17" t="s">
        <v>292</v>
      </c>
      <c r="F157" s="18">
        <v>23028</v>
      </c>
      <c r="G157" s="16" t="s">
        <v>671</v>
      </c>
      <c r="H157" s="17" t="s">
        <v>1086</v>
      </c>
      <c r="I157" s="16" t="s">
        <v>425</v>
      </c>
      <c r="J157" s="16" t="s">
        <v>542</v>
      </c>
      <c r="K157" s="16" t="s">
        <v>427</v>
      </c>
      <c r="L157" s="17"/>
    </row>
    <row r="158" spans="1:12" ht="15" customHeight="1" x14ac:dyDescent="0.2">
      <c r="A158" s="20" t="s">
        <v>1087</v>
      </c>
      <c r="B158" s="20" t="s">
        <v>160</v>
      </c>
      <c r="C158" s="20" t="s">
        <v>1088</v>
      </c>
      <c r="D158" s="21" t="s">
        <v>1089</v>
      </c>
      <c r="E158" s="21" t="s">
        <v>431</v>
      </c>
      <c r="F158" s="22">
        <v>15491</v>
      </c>
      <c r="G158" s="20" t="s">
        <v>423</v>
      </c>
      <c r="H158" s="21" t="s">
        <v>1090</v>
      </c>
      <c r="I158" s="20" t="s">
        <v>449</v>
      </c>
      <c r="J158" s="20" t="s">
        <v>426</v>
      </c>
      <c r="K158" s="20" t="s">
        <v>427</v>
      </c>
      <c r="L158" s="21"/>
    </row>
    <row r="159" spans="1:12" ht="15" customHeight="1" x14ac:dyDescent="0.2">
      <c r="A159" s="16" t="s">
        <v>1091</v>
      </c>
      <c r="B159" s="16" t="s">
        <v>339</v>
      </c>
      <c r="C159" s="16" t="s">
        <v>1092</v>
      </c>
      <c r="D159" s="17" t="s">
        <v>1093</v>
      </c>
      <c r="E159" s="17" t="s">
        <v>442</v>
      </c>
      <c r="F159" s="18">
        <v>33169</v>
      </c>
      <c r="G159" s="16" t="s">
        <v>423</v>
      </c>
      <c r="H159" s="17" t="s">
        <v>1094</v>
      </c>
      <c r="I159" s="16" t="s">
        <v>425</v>
      </c>
      <c r="J159" s="16" t="s">
        <v>426</v>
      </c>
      <c r="K159" s="16" t="s">
        <v>427</v>
      </c>
      <c r="L159" s="17"/>
    </row>
    <row r="160" spans="1:12" ht="15" customHeight="1" x14ac:dyDescent="0.2">
      <c r="A160" s="20" t="s">
        <v>1095</v>
      </c>
      <c r="B160" s="20" t="s">
        <v>475</v>
      </c>
      <c r="C160" s="20" t="s">
        <v>1096</v>
      </c>
      <c r="D160" s="21" t="s">
        <v>1097</v>
      </c>
      <c r="E160" s="21" t="s">
        <v>431</v>
      </c>
      <c r="F160" s="22">
        <v>26320</v>
      </c>
      <c r="G160" s="20" t="s">
        <v>423</v>
      </c>
      <c r="H160" s="21" t="s">
        <v>1098</v>
      </c>
      <c r="I160" s="20" t="s">
        <v>433</v>
      </c>
      <c r="J160" s="20" t="s">
        <v>426</v>
      </c>
      <c r="K160" s="20" t="s">
        <v>427</v>
      </c>
      <c r="L160" s="21"/>
    </row>
    <row r="161" spans="1:12" ht="15" customHeight="1" x14ac:dyDescent="0.2">
      <c r="A161" s="16" t="s">
        <v>1099</v>
      </c>
      <c r="B161" s="16" t="s">
        <v>105</v>
      </c>
      <c r="C161" s="16" t="s">
        <v>1100</v>
      </c>
      <c r="D161" s="17" t="s">
        <v>1101</v>
      </c>
      <c r="E161" s="17" t="s">
        <v>431</v>
      </c>
      <c r="F161" s="18">
        <v>21906</v>
      </c>
      <c r="G161" s="16" t="s">
        <v>540</v>
      </c>
      <c r="H161" s="17" t="s">
        <v>1102</v>
      </c>
      <c r="I161" s="16" t="s">
        <v>449</v>
      </c>
      <c r="J161" s="16" t="s">
        <v>516</v>
      </c>
      <c r="K161" s="16" t="s">
        <v>427</v>
      </c>
      <c r="L161" s="17"/>
    </row>
    <row r="162" spans="1:12" ht="15" customHeight="1" x14ac:dyDescent="0.2">
      <c r="A162" s="44" t="s">
        <v>1103</v>
      </c>
      <c r="B162" s="44" t="s">
        <v>1069</v>
      </c>
      <c r="C162" s="44" t="s">
        <v>1104</v>
      </c>
      <c r="D162" s="45" t="s">
        <v>1105</v>
      </c>
      <c r="E162" s="45" t="s">
        <v>442</v>
      </c>
      <c r="F162" s="46">
        <v>862663</v>
      </c>
      <c r="G162" s="44" t="s">
        <v>423</v>
      </c>
      <c r="H162" s="45" t="s">
        <v>1106</v>
      </c>
      <c r="I162" s="44" t="s">
        <v>425</v>
      </c>
      <c r="J162" s="44" t="s">
        <v>426</v>
      </c>
      <c r="K162" s="19" t="s">
        <v>534</v>
      </c>
      <c r="L162" s="45" t="s">
        <v>718</v>
      </c>
    </row>
    <row r="163" spans="1:12" ht="15" customHeight="1" x14ac:dyDescent="0.2">
      <c r="A163" s="16" t="s">
        <v>1107</v>
      </c>
      <c r="B163" s="16" t="s">
        <v>1108</v>
      </c>
      <c r="C163" s="16" t="s">
        <v>1109</v>
      </c>
      <c r="D163" s="17" t="s">
        <v>1110</v>
      </c>
      <c r="E163" s="17" t="s">
        <v>292</v>
      </c>
      <c r="F163" s="18">
        <v>47041</v>
      </c>
      <c r="G163" s="16" t="s">
        <v>423</v>
      </c>
      <c r="H163" s="17" t="s">
        <v>1111</v>
      </c>
      <c r="I163" s="16" t="s">
        <v>433</v>
      </c>
      <c r="J163" s="16" t="s">
        <v>426</v>
      </c>
      <c r="K163" s="16" t="s">
        <v>427</v>
      </c>
      <c r="L163" s="17"/>
    </row>
    <row r="164" spans="1:12" ht="15" customHeight="1" x14ac:dyDescent="0.2">
      <c r="A164" s="20" t="s">
        <v>1112</v>
      </c>
      <c r="B164" s="20" t="s">
        <v>127</v>
      </c>
      <c r="C164" s="20" t="s">
        <v>1113</v>
      </c>
      <c r="D164" s="21" t="s">
        <v>1114</v>
      </c>
      <c r="E164" s="21" t="s">
        <v>466</v>
      </c>
      <c r="F164" s="22">
        <v>7515</v>
      </c>
      <c r="G164" s="20" t="s">
        <v>423</v>
      </c>
      <c r="H164" s="21" t="s">
        <v>1115</v>
      </c>
      <c r="I164" s="20" t="s">
        <v>425</v>
      </c>
      <c r="J164" s="20" t="s">
        <v>426</v>
      </c>
      <c r="K164" s="20" t="s">
        <v>427</v>
      </c>
      <c r="L164" s="21"/>
    </row>
    <row r="165" spans="1:12" ht="15" customHeight="1" x14ac:dyDescent="0.2">
      <c r="A165" s="16" t="s">
        <v>1116</v>
      </c>
      <c r="B165" s="16" t="s">
        <v>739</v>
      </c>
      <c r="C165" s="16" t="s">
        <v>1117</v>
      </c>
      <c r="D165" s="17" t="s">
        <v>1118</v>
      </c>
      <c r="E165" s="17" t="s">
        <v>431</v>
      </c>
      <c r="F165" s="18">
        <v>12444</v>
      </c>
      <c r="G165" s="16" t="s">
        <v>423</v>
      </c>
      <c r="H165" s="17" t="s">
        <v>1119</v>
      </c>
      <c r="I165" s="16" t="s">
        <v>286</v>
      </c>
      <c r="J165" s="16" t="s">
        <v>426</v>
      </c>
      <c r="K165" s="16" t="s">
        <v>427</v>
      </c>
      <c r="L165" s="17"/>
    </row>
    <row r="166" spans="1:12" ht="15" customHeight="1" x14ac:dyDescent="0.2">
      <c r="A166" s="20" t="s">
        <v>1120</v>
      </c>
      <c r="B166" s="20" t="s">
        <v>275</v>
      </c>
      <c r="C166" s="20" t="s">
        <v>1121</v>
      </c>
      <c r="D166" s="21" t="s">
        <v>1122</v>
      </c>
      <c r="E166" s="21" t="s">
        <v>447</v>
      </c>
      <c r="F166" s="22">
        <v>17268</v>
      </c>
      <c r="G166" s="20" t="s">
        <v>423</v>
      </c>
      <c r="H166" s="21" t="s">
        <v>1123</v>
      </c>
      <c r="I166" s="20" t="s">
        <v>425</v>
      </c>
      <c r="J166" s="20" t="s">
        <v>426</v>
      </c>
      <c r="K166" s="20" t="s">
        <v>427</v>
      </c>
      <c r="L166" s="21"/>
    </row>
    <row r="167" spans="1:12" ht="15" customHeight="1" x14ac:dyDescent="0.2">
      <c r="A167" s="16" t="s">
        <v>1124</v>
      </c>
      <c r="B167" s="16" t="s">
        <v>59</v>
      </c>
      <c r="C167" s="16" t="s">
        <v>1125</v>
      </c>
      <c r="D167" s="17" t="s">
        <v>1126</v>
      </c>
      <c r="E167" s="17" t="s">
        <v>472</v>
      </c>
      <c r="F167" s="18">
        <v>39948</v>
      </c>
      <c r="G167" s="16" t="s">
        <v>540</v>
      </c>
      <c r="H167" s="17" t="s">
        <v>1127</v>
      </c>
      <c r="I167" s="16" t="s">
        <v>286</v>
      </c>
      <c r="J167" s="16" t="s">
        <v>507</v>
      </c>
      <c r="K167" s="16" t="s">
        <v>427</v>
      </c>
      <c r="L167" s="17"/>
    </row>
    <row r="168" spans="1:12" ht="15" customHeight="1" x14ac:dyDescent="0.2">
      <c r="A168" s="20" t="s">
        <v>1128</v>
      </c>
      <c r="B168" s="20" t="s">
        <v>335</v>
      </c>
      <c r="C168" s="20" t="s">
        <v>1129</v>
      </c>
      <c r="D168" s="21" t="s">
        <v>1130</v>
      </c>
      <c r="E168" s="21" t="s">
        <v>447</v>
      </c>
      <c r="F168" s="22">
        <v>29306</v>
      </c>
      <c r="G168" s="20" t="s">
        <v>671</v>
      </c>
      <c r="H168" s="21" t="s">
        <v>1131</v>
      </c>
      <c r="I168" s="20" t="s">
        <v>433</v>
      </c>
      <c r="J168" s="20" t="s">
        <v>507</v>
      </c>
      <c r="K168" s="20" t="s">
        <v>427</v>
      </c>
      <c r="L168" s="21"/>
    </row>
    <row r="169" spans="1:12" ht="15" customHeight="1" x14ac:dyDescent="0.2">
      <c r="A169" s="16" t="s">
        <v>1132</v>
      </c>
      <c r="B169" s="16" t="s">
        <v>1133</v>
      </c>
      <c r="C169" s="16" t="s">
        <v>1134</v>
      </c>
      <c r="D169" s="17" t="s">
        <v>1135</v>
      </c>
      <c r="E169" s="17" t="s">
        <v>442</v>
      </c>
      <c r="F169" s="18">
        <v>6832</v>
      </c>
      <c r="G169" s="16" t="s">
        <v>423</v>
      </c>
      <c r="H169" s="17" t="s">
        <v>1136</v>
      </c>
      <c r="I169" s="16" t="s">
        <v>433</v>
      </c>
      <c r="J169" s="16" t="s">
        <v>426</v>
      </c>
      <c r="K169" s="16" t="s">
        <v>427</v>
      </c>
      <c r="L169" s="17"/>
    </row>
    <row r="170" spans="1:12" ht="15" customHeight="1" x14ac:dyDescent="0.2">
      <c r="A170" s="20" t="s">
        <v>1137</v>
      </c>
      <c r="B170" s="20" t="s">
        <v>769</v>
      </c>
      <c r="C170" s="20" t="s">
        <v>1138</v>
      </c>
      <c r="D170" s="21" t="s">
        <v>1139</v>
      </c>
      <c r="E170" s="21" t="s">
        <v>478</v>
      </c>
      <c r="F170" s="22">
        <v>12042</v>
      </c>
      <c r="G170" s="20" t="s">
        <v>423</v>
      </c>
      <c r="H170" s="21" t="s">
        <v>1140</v>
      </c>
      <c r="I170" s="20" t="s">
        <v>286</v>
      </c>
      <c r="J170" s="20" t="s">
        <v>426</v>
      </c>
      <c r="K170" s="20" t="s">
        <v>427</v>
      </c>
      <c r="L170" s="21"/>
    </row>
    <row r="171" spans="1:12" ht="15" customHeight="1" x14ac:dyDescent="0.2">
      <c r="A171" s="16" t="s">
        <v>1141</v>
      </c>
      <c r="B171" s="16" t="s">
        <v>1018</v>
      </c>
      <c r="C171" s="16" t="s">
        <v>1142</v>
      </c>
      <c r="D171" s="17" t="s">
        <v>1143</v>
      </c>
      <c r="E171" s="17" t="s">
        <v>292</v>
      </c>
      <c r="F171" s="18">
        <v>36113</v>
      </c>
      <c r="G171" s="16" t="s">
        <v>423</v>
      </c>
      <c r="H171" s="17" t="s">
        <v>1144</v>
      </c>
      <c r="I171" s="16" t="s">
        <v>438</v>
      </c>
      <c r="J171" s="16" t="s">
        <v>426</v>
      </c>
      <c r="K171" s="16" t="s">
        <v>427</v>
      </c>
      <c r="L171" s="17"/>
    </row>
    <row r="172" spans="1:12" ht="15" customHeight="1" x14ac:dyDescent="0.2">
      <c r="A172" s="20" t="s">
        <v>1145</v>
      </c>
      <c r="B172" s="20" t="s">
        <v>65</v>
      </c>
      <c r="C172" s="20" t="s">
        <v>627</v>
      </c>
      <c r="D172" s="21" t="s">
        <v>1146</v>
      </c>
      <c r="E172" s="21" t="s">
        <v>422</v>
      </c>
      <c r="F172" s="22">
        <v>20642</v>
      </c>
      <c r="G172" s="20" t="s">
        <v>423</v>
      </c>
      <c r="H172" s="21" t="s">
        <v>1147</v>
      </c>
      <c r="I172" s="20" t="s">
        <v>438</v>
      </c>
      <c r="J172" s="20" t="s">
        <v>426</v>
      </c>
      <c r="K172" s="20" t="s">
        <v>427</v>
      </c>
      <c r="L172" s="21"/>
    </row>
    <row r="173" spans="1:12" ht="15" customHeight="1" x14ac:dyDescent="0.2">
      <c r="A173" s="16" t="s">
        <v>1148</v>
      </c>
      <c r="B173" s="16" t="s">
        <v>720</v>
      </c>
      <c r="C173" s="16" t="s">
        <v>1149</v>
      </c>
      <c r="D173" s="17" t="s">
        <v>1150</v>
      </c>
      <c r="E173" s="17" t="s">
        <v>478</v>
      </c>
      <c r="F173" s="18">
        <v>11798</v>
      </c>
      <c r="G173" s="16" t="s">
        <v>423</v>
      </c>
      <c r="H173" s="17" t="s">
        <v>1151</v>
      </c>
      <c r="I173" s="16" t="s">
        <v>286</v>
      </c>
      <c r="J173" s="16" t="s">
        <v>426</v>
      </c>
      <c r="K173" s="16" t="s">
        <v>427</v>
      </c>
      <c r="L173" s="17"/>
    </row>
    <row r="174" spans="1:12" ht="15" customHeight="1" x14ac:dyDescent="0.2">
      <c r="A174" s="20" t="s">
        <v>1152</v>
      </c>
      <c r="B174" s="20" t="s">
        <v>142</v>
      </c>
      <c r="C174" s="20" t="s">
        <v>1153</v>
      </c>
      <c r="D174" s="21" t="s">
        <v>1154</v>
      </c>
      <c r="E174" s="21" t="s">
        <v>422</v>
      </c>
      <c r="F174" s="22">
        <v>10342</v>
      </c>
      <c r="G174" s="20" t="s">
        <v>423</v>
      </c>
      <c r="H174" s="21" t="s">
        <v>1155</v>
      </c>
      <c r="I174" s="20" t="s">
        <v>433</v>
      </c>
      <c r="J174" s="20" t="s">
        <v>426</v>
      </c>
      <c r="K174" s="20" t="s">
        <v>427</v>
      </c>
      <c r="L174" s="21"/>
    </row>
    <row r="175" spans="1:12" ht="15" customHeight="1" x14ac:dyDescent="0.2">
      <c r="A175" s="16" t="s">
        <v>1156</v>
      </c>
      <c r="B175" s="16" t="s">
        <v>111</v>
      </c>
      <c r="C175" s="16" t="s">
        <v>1157</v>
      </c>
      <c r="D175" s="17" t="s">
        <v>1158</v>
      </c>
      <c r="E175" s="17" t="s">
        <v>478</v>
      </c>
      <c r="F175" s="18">
        <v>13225</v>
      </c>
      <c r="G175" s="16" t="s">
        <v>540</v>
      </c>
      <c r="H175" s="17" t="s">
        <v>1159</v>
      </c>
      <c r="I175" s="16" t="s">
        <v>449</v>
      </c>
      <c r="J175" s="16" t="s">
        <v>507</v>
      </c>
      <c r="K175" s="16" t="s">
        <v>427</v>
      </c>
      <c r="L175" s="17"/>
    </row>
    <row r="176" spans="1:12" ht="15" customHeight="1" x14ac:dyDescent="0.2">
      <c r="A176" s="20" t="s">
        <v>1160</v>
      </c>
      <c r="B176" s="20" t="s">
        <v>769</v>
      </c>
      <c r="C176" s="20" t="s">
        <v>1161</v>
      </c>
      <c r="D176" s="21" t="s">
        <v>1162</v>
      </c>
      <c r="E176" s="21" t="s">
        <v>447</v>
      </c>
      <c r="F176" s="22">
        <v>35375</v>
      </c>
      <c r="G176" s="20" t="s">
        <v>423</v>
      </c>
      <c r="H176" s="21" t="s">
        <v>1163</v>
      </c>
      <c r="I176" s="20" t="s">
        <v>433</v>
      </c>
      <c r="J176" s="20" t="s">
        <v>426</v>
      </c>
      <c r="K176" s="20" t="s">
        <v>427</v>
      </c>
      <c r="L176" s="21"/>
    </row>
    <row r="177" spans="1:12" ht="15" customHeight="1" x14ac:dyDescent="0.2">
      <c r="A177" s="16" t="s">
        <v>1164</v>
      </c>
      <c r="B177" s="16" t="s">
        <v>118</v>
      </c>
      <c r="C177" s="16" t="s">
        <v>1165</v>
      </c>
      <c r="D177" s="17" t="s">
        <v>1166</v>
      </c>
      <c r="E177" s="17" t="s">
        <v>292</v>
      </c>
      <c r="F177" s="18">
        <v>7364</v>
      </c>
      <c r="G177" s="16" t="s">
        <v>423</v>
      </c>
      <c r="H177" s="17" t="s">
        <v>1167</v>
      </c>
      <c r="I177" s="16" t="s">
        <v>438</v>
      </c>
      <c r="J177" s="16" t="s">
        <v>426</v>
      </c>
      <c r="K177" s="16" t="s">
        <v>427</v>
      </c>
      <c r="L177" s="17"/>
    </row>
    <row r="178" spans="1:12" ht="15" customHeight="1" x14ac:dyDescent="0.2">
      <c r="A178" s="44" t="s">
        <v>1168</v>
      </c>
      <c r="B178" s="44" t="s">
        <v>839</v>
      </c>
      <c r="C178" s="44" t="s">
        <v>1169</v>
      </c>
      <c r="D178" s="45" t="s">
        <v>1170</v>
      </c>
      <c r="E178" s="45" t="s">
        <v>447</v>
      </c>
      <c r="F178" s="46">
        <v>16488</v>
      </c>
      <c r="G178" s="44" t="s">
        <v>423</v>
      </c>
      <c r="H178" s="45" t="s">
        <v>1171</v>
      </c>
      <c r="I178" s="44" t="s">
        <v>425</v>
      </c>
      <c r="J178" s="44" t="s">
        <v>426</v>
      </c>
      <c r="K178" s="19" t="s">
        <v>534</v>
      </c>
      <c r="L178" s="45" t="s">
        <v>667</v>
      </c>
    </row>
    <row r="179" spans="1:12" ht="15" customHeight="1" x14ac:dyDescent="0.2">
      <c r="A179" s="16" t="s">
        <v>1172</v>
      </c>
      <c r="B179" s="16" t="s">
        <v>537</v>
      </c>
      <c r="C179" s="16" t="s">
        <v>748</v>
      </c>
      <c r="D179" s="17" t="s">
        <v>1173</v>
      </c>
      <c r="E179" s="17" t="s">
        <v>292</v>
      </c>
      <c r="F179" s="18">
        <v>8223</v>
      </c>
      <c r="G179" s="16" t="s">
        <v>423</v>
      </c>
      <c r="H179" s="17" t="s">
        <v>1174</v>
      </c>
      <c r="I179" s="16" t="s">
        <v>433</v>
      </c>
      <c r="J179" s="16" t="s">
        <v>426</v>
      </c>
      <c r="K179" s="16" t="s">
        <v>427</v>
      </c>
      <c r="L179" s="17"/>
    </row>
    <row r="180" spans="1:12" ht="15" customHeight="1" x14ac:dyDescent="0.2">
      <c r="A180" s="20" t="s">
        <v>1175</v>
      </c>
      <c r="B180" s="20" t="s">
        <v>364</v>
      </c>
      <c r="C180" s="20" t="s">
        <v>1176</v>
      </c>
      <c r="D180" s="21" t="s">
        <v>1177</v>
      </c>
      <c r="E180" s="21" t="s">
        <v>447</v>
      </c>
      <c r="F180" s="22">
        <v>1437</v>
      </c>
      <c r="G180" s="20" t="s">
        <v>423</v>
      </c>
      <c r="H180" s="21" t="s">
        <v>1178</v>
      </c>
      <c r="I180" s="20" t="s">
        <v>449</v>
      </c>
      <c r="J180" s="20" t="s">
        <v>426</v>
      </c>
      <c r="K180" s="20" t="s">
        <v>427</v>
      </c>
      <c r="L180" s="21"/>
    </row>
    <row r="181" spans="1:12" ht="15" customHeight="1" x14ac:dyDescent="0.2">
      <c r="A181" s="16" t="s">
        <v>1179</v>
      </c>
      <c r="B181" s="16" t="s">
        <v>739</v>
      </c>
      <c r="C181" s="16" t="s">
        <v>1180</v>
      </c>
      <c r="D181" s="17" t="s">
        <v>1181</v>
      </c>
      <c r="E181" s="17" t="s">
        <v>447</v>
      </c>
      <c r="F181" s="18">
        <v>39548</v>
      </c>
      <c r="G181" s="16" t="s">
        <v>423</v>
      </c>
      <c r="H181" s="17" t="s">
        <v>1182</v>
      </c>
      <c r="I181" s="16" t="s">
        <v>433</v>
      </c>
      <c r="J181" s="16" t="s">
        <v>426</v>
      </c>
      <c r="K181" s="16" t="s">
        <v>427</v>
      </c>
      <c r="L181" s="17"/>
    </row>
    <row r="182" spans="1:12" ht="15" customHeight="1" x14ac:dyDescent="0.2">
      <c r="A182" s="44" t="s">
        <v>1183</v>
      </c>
      <c r="B182" s="44" t="s">
        <v>172</v>
      </c>
      <c r="C182" s="44" t="s">
        <v>1184</v>
      </c>
      <c r="D182" s="45" t="s">
        <v>1185</v>
      </c>
      <c r="E182" s="45" t="s">
        <v>447</v>
      </c>
      <c r="F182" s="46">
        <v>13615</v>
      </c>
      <c r="G182" s="44" t="s">
        <v>423</v>
      </c>
      <c r="H182" s="45" t="s">
        <v>1186</v>
      </c>
      <c r="I182" s="44" t="s">
        <v>286</v>
      </c>
      <c r="J182" s="44" t="s">
        <v>426</v>
      </c>
      <c r="K182" s="19" t="s">
        <v>534</v>
      </c>
      <c r="L182" s="45" t="s">
        <v>535</v>
      </c>
    </row>
    <row r="183" spans="1:12" ht="15" customHeight="1" x14ac:dyDescent="0.2">
      <c r="A183" s="16" t="s">
        <v>1187</v>
      </c>
      <c r="B183" s="16" t="s">
        <v>184</v>
      </c>
      <c r="C183" s="16" t="s">
        <v>1188</v>
      </c>
      <c r="D183" s="17" t="s">
        <v>1189</v>
      </c>
      <c r="E183" s="17" t="s">
        <v>447</v>
      </c>
      <c r="F183" s="18">
        <v>2603</v>
      </c>
      <c r="G183" s="16" t="s">
        <v>423</v>
      </c>
      <c r="H183" s="17" t="s">
        <v>1190</v>
      </c>
      <c r="I183" s="16" t="s">
        <v>425</v>
      </c>
      <c r="J183" s="16" t="s">
        <v>426</v>
      </c>
      <c r="K183" s="16" t="s">
        <v>427</v>
      </c>
      <c r="L183" s="17"/>
    </row>
    <row r="184" spans="1:12" ht="15" customHeight="1" x14ac:dyDescent="0.2">
      <c r="A184" s="20" t="s">
        <v>1191</v>
      </c>
      <c r="B184" s="20" t="s">
        <v>631</v>
      </c>
      <c r="C184" s="20" t="s">
        <v>1192</v>
      </c>
      <c r="D184" s="21" t="s">
        <v>1193</v>
      </c>
      <c r="E184" s="21" t="s">
        <v>466</v>
      </c>
      <c r="F184" s="22">
        <v>8416</v>
      </c>
      <c r="G184" s="20" t="s">
        <v>540</v>
      </c>
      <c r="H184" s="21" t="s">
        <v>1194</v>
      </c>
      <c r="I184" s="20" t="s">
        <v>438</v>
      </c>
      <c r="J184" s="20" t="s">
        <v>507</v>
      </c>
      <c r="K184" s="20" t="s">
        <v>427</v>
      </c>
      <c r="L184" s="21"/>
    </row>
    <row r="185" spans="1:12" ht="15" customHeight="1" x14ac:dyDescent="0.2">
      <c r="A185" s="16" t="s">
        <v>1195</v>
      </c>
      <c r="B185" s="16" t="s">
        <v>739</v>
      </c>
      <c r="C185" s="16" t="s">
        <v>1196</v>
      </c>
      <c r="D185" s="17" t="s">
        <v>1197</v>
      </c>
      <c r="E185" s="17" t="s">
        <v>472</v>
      </c>
      <c r="F185" s="18">
        <v>45727</v>
      </c>
      <c r="G185" s="16" t="s">
        <v>423</v>
      </c>
      <c r="H185" s="17" t="s">
        <v>1198</v>
      </c>
      <c r="I185" s="16" t="s">
        <v>438</v>
      </c>
      <c r="J185" s="16" t="s">
        <v>426</v>
      </c>
      <c r="K185" s="16" t="s">
        <v>427</v>
      </c>
      <c r="L185" s="17"/>
    </row>
    <row r="186" spans="1:12" ht="15" customHeight="1" x14ac:dyDescent="0.2">
      <c r="A186" s="20" t="s">
        <v>1199</v>
      </c>
      <c r="B186" s="20" t="s">
        <v>335</v>
      </c>
      <c r="C186" s="20" t="s">
        <v>1200</v>
      </c>
      <c r="D186" s="21" t="s">
        <v>1201</v>
      </c>
      <c r="E186" s="21" t="s">
        <v>431</v>
      </c>
      <c r="F186" s="22">
        <v>18146</v>
      </c>
      <c r="G186" s="20" t="s">
        <v>423</v>
      </c>
      <c r="H186" s="21" t="s">
        <v>1202</v>
      </c>
      <c r="I186" s="20" t="s">
        <v>286</v>
      </c>
      <c r="J186" s="20" t="s">
        <v>426</v>
      </c>
      <c r="K186" s="20" t="s">
        <v>427</v>
      </c>
      <c r="L186" s="21"/>
    </row>
    <row r="187" spans="1:12" ht="15" customHeight="1" x14ac:dyDescent="0.2">
      <c r="A187" s="16" t="s">
        <v>1203</v>
      </c>
      <c r="B187" s="16" t="s">
        <v>481</v>
      </c>
      <c r="C187" s="16" t="s">
        <v>1204</v>
      </c>
      <c r="D187" s="17" t="s">
        <v>1205</v>
      </c>
      <c r="E187" s="17" t="s">
        <v>472</v>
      </c>
      <c r="F187" s="18">
        <v>11560</v>
      </c>
      <c r="G187" s="16" t="s">
        <v>423</v>
      </c>
      <c r="H187" s="17" t="s">
        <v>1206</v>
      </c>
      <c r="I187" s="16" t="s">
        <v>449</v>
      </c>
      <c r="J187" s="16" t="s">
        <v>426</v>
      </c>
      <c r="K187" s="16" t="s">
        <v>427</v>
      </c>
      <c r="L187" s="17"/>
    </row>
    <row r="188" spans="1:12" ht="15" customHeight="1" x14ac:dyDescent="0.2">
      <c r="A188" s="20" t="s">
        <v>1207</v>
      </c>
      <c r="B188" s="20" t="s">
        <v>1046</v>
      </c>
      <c r="C188" s="20" t="s">
        <v>1208</v>
      </c>
      <c r="D188" s="21" t="s">
        <v>1209</v>
      </c>
      <c r="E188" s="21" t="s">
        <v>478</v>
      </c>
      <c r="F188" s="22">
        <v>41258</v>
      </c>
      <c r="G188" s="20" t="s">
        <v>423</v>
      </c>
      <c r="H188" s="21" t="s">
        <v>1210</v>
      </c>
      <c r="I188" s="20" t="s">
        <v>438</v>
      </c>
      <c r="J188" s="20" t="s">
        <v>426</v>
      </c>
      <c r="K188" s="20" t="s">
        <v>427</v>
      </c>
      <c r="L188" s="21"/>
    </row>
    <row r="189" spans="1:12" ht="15" customHeight="1" x14ac:dyDescent="0.2">
      <c r="A189" s="44" t="s">
        <v>1211</v>
      </c>
      <c r="B189" s="44" t="s">
        <v>911</v>
      </c>
      <c r="C189" s="44" t="s">
        <v>1212</v>
      </c>
      <c r="D189" s="45" t="s">
        <v>1213</v>
      </c>
      <c r="E189" s="45" t="s">
        <v>442</v>
      </c>
      <c r="F189" s="46">
        <v>355950</v>
      </c>
      <c r="G189" s="44" t="s">
        <v>423</v>
      </c>
      <c r="H189" s="45" t="s">
        <v>1214</v>
      </c>
      <c r="I189" s="44" t="s">
        <v>433</v>
      </c>
      <c r="J189" s="44" t="s">
        <v>426</v>
      </c>
      <c r="K189" s="19" t="s">
        <v>534</v>
      </c>
      <c r="L189" s="45" t="s">
        <v>718</v>
      </c>
    </row>
    <row r="190" spans="1:12" ht="15" customHeight="1" x14ac:dyDescent="0.2">
      <c r="A190" s="20" t="s">
        <v>1215</v>
      </c>
      <c r="B190" s="20" t="s">
        <v>1216</v>
      </c>
      <c r="C190" s="20" t="s">
        <v>1217</v>
      </c>
      <c r="D190" s="21" t="s">
        <v>1218</v>
      </c>
      <c r="E190" s="21" t="s">
        <v>422</v>
      </c>
      <c r="F190" s="22">
        <v>32263</v>
      </c>
      <c r="G190" s="20" t="s">
        <v>505</v>
      </c>
      <c r="H190" s="21" t="s">
        <v>1219</v>
      </c>
      <c r="I190" s="20" t="s">
        <v>433</v>
      </c>
      <c r="J190" s="20" t="s">
        <v>507</v>
      </c>
      <c r="K190" s="20" t="s">
        <v>427</v>
      </c>
      <c r="L190" s="21"/>
    </row>
    <row r="191" spans="1:12" ht="15" customHeight="1" x14ac:dyDescent="0.2">
      <c r="A191" s="16" t="s">
        <v>1220</v>
      </c>
      <c r="B191" s="16" t="s">
        <v>127</v>
      </c>
      <c r="C191" s="16" t="s">
        <v>1221</v>
      </c>
      <c r="D191" s="17" t="s">
        <v>1222</v>
      </c>
      <c r="E191" s="17" t="s">
        <v>431</v>
      </c>
      <c r="F191" s="18">
        <v>37105</v>
      </c>
      <c r="G191" s="16" t="s">
        <v>423</v>
      </c>
      <c r="H191" s="17" t="s">
        <v>1223</v>
      </c>
      <c r="I191" s="16" t="s">
        <v>286</v>
      </c>
      <c r="J191" s="16" t="s">
        <v>426</v>
      </c>
      <c r="K191" s="16" t="s">
        <v>427</v>
      </c>
      <c r="L191" s="17"/>
    </row>
    <row r="192" spans="1:12" ht="15" customHeight="1" x14ac:dyDescent="0.2">
      <c r="A192" s="20" t="s">
        <v>1224</v>
      </c>
      <c r="B192" s="20" t="s">
        <v>752</v>
      </c>
      <c r="C192" s="20" t="s">
        <v>1204</v>
      </c>
      <c r="D192" s="21" t="s">
        <v>1225</v>
      </c>
      <c r="E192" s="21" t="s">
        <v>442</v>
      </c>
      <c r="F192" s="22">
        <v>28977</v>
      </c>
      <c r="G192" s="20" t="s">
        <v>540</v>
      </c>
      <c r="H192" s="21" t="s">
        <v>1226</v>
      </c>
      <c r="I192" s="20" t="s">
        <v>433</v>
      </c>
      <c r="J192" s="20" t="s">
        <v>507</v>
      </c>
      <c r="K192" s="20" t="s">
        <v>427</v>
      </c>
      <c r="L192" s="21"/>
    </row>
    <row r="193" spans="1:12" ht="15" customHeight="1" x14ac:dyDescent="0.2">
      <c r="A193" s="16" t="s">
        <v>1227</v>
      </c>
      <c r="B193" s="16" t="s">
        <v>275</v>
      </c>
      <c r="C193" s="16" t="s">
        <v>1121</v>
      </c>
      <c r="D193" s="17" t="s">
        <v>1228</v>
      </c>
      <c r="E193" s="17" t="s">
        <v>431</v>
      </c>
      <c r="F193" s="18">
        <v>19512</v>
      </c>
      <c r="G193" s="16" t="s">
        <v>423</v>
      </c>
      <c r="H193" s="17" t="s">
        <v>1229</v>
      </c>
      <c r="I193" s="16" t="s">
        <v>449</v>
      </c>
      <c r="J193" s="16" t="s">
        <v>426</v>
      </c>
      <c r="K193" s="16" t="s">
        <v>427</v>
      </c>
      <c r="L193" s="17"/>
    </row>
    <row r="194" spans="1:12" ht="15" customHeight="1" x14ac:dyDescent="0.2">
      <c r="A194" s="20" t="s">
        <v>1230</v>
      </c>
      <c r="B194" s="20" t="s">
        <v>1231</v>
      </c>
      <c r="C194" s="20" t="s">
        <v>1232</v>
      </c>
      <c r="D194" s="21" t="s">
        <v>1233</v>
      </c>
      <c r="E194" s="21" t="s">
        <v>447</v>
      </c>
      <c r="F194" s="22">
        <v>33579</v>
      </c>
      <c r="G194" s="20" t="s">
        <v>505</v>
      </c>
      <c r="H194" s="21" t="s">
        <v>1234</v>
      </c>
      <c r="I194" s="20" t="s">
        <v>449</v>
      </c>
      <c r="J194" s="20" t="s">
        <v>507</v>
      </c>
      <c r="K194" s="20" t="s">
        <v>427</v>
      </c>
      <c r="L194" s="21"/>
    </row>
    <row r="195" spans="1:12" ht="15" customHeight="1" x14ac:dyDescent="0.2">
      <c r="A195" s="16" t="s">
        <v>1235</v>
      </c>
      <c r="B195" s="16" t="s">
        <v>327</v>
      </c>
      <c r="C195" s="16" t="s">
        <v>1236</v>
      </c>
      <c r="D195" s="17" t="s">
        <v>1237</v>
      </c>
      <c r="E195" s="17" t="s">
        <v>431</v>
      </c>
      <c r="F195" s="18">
        <v>21348</v>
      </c>
      <c r="G195" s="16" t="s">
        <v>423</v>
      </c>
      <c r="H195" s="17" t="s">
        <v>1238</v>
      </c>
      <c r="I195" s="16" t="s">
        <v>438</v>
      </c>
      <c r="J195" s="16" t="s">
        <v>426</v>
      </c>
      <c r="K195" s="16" t="s">
        <v>427</v>
      </c>
      <c r="L195" s="17"/>
    </row>
    <row r="196" spans="1:12" ht="15" customHeight="1" x14ac:dyDescent="0.2">
      <c r="A196" s="20" t="s">
        <v>1239</v>
      </c>
      <c r="B196" s="20" t="s">
        <v>317</v>
      </c>
      <c r="C196" s="20" t="s">
        <v>907</v>
      </c>
      <c r="D196" s="21" t="s">
        <v>1240</v>
      </c>
      <c r="E196" s="21" t="s">
        <v>292</v>
      </c>
      <c r="F196" s="22">
        <v>4108</v>
      </c>
      <c r="G196" s="20" t="s">
        <v>423</v>
      </c>
      <c r="H196" s="21" t="s">
        <v>1241</v>
      </c>
      <c r="I196" s="20" t="s">
        <v>425</v>
      </c>
      <c r="J196" s="20" t="s">
        <v>426</v>
      </c>
      <c r="K196" s="20" t="s">
        <v>427</v>
      </c>
      <c r="L196" s="21"/>
    </row>
    <row r="197" spans="1:12" ht="15" customHeight="1" x14ac:dyDescent="0.2">
      <c r="A197" s="44" t="s">
        <v>1242</v>
      </c>
      <c r="B197" s="44" t="s">
        <v>172</v>
      </c>
      <c r="C197" s="44" t="s">
        <v>1243</v>
      </c>
      <c r="D197" s="45" t="s">
        <v>1244</v>
      </c>
      <c r="E197" s="45" t="s">
        <v>447</v>
      </c>
      <c r="F197" s="46">
        <v>134655</v>
      </c>
      <c r="G197" s="44" t="s">
        <v>423</v>
      </c>
      <c r="H197" s="45" t="s">
        <v>1245</v>
      </c>
      <c r="I197" s="44" t="s">
        <v>433</v>
      </c>
      <c r="J197" s="44" t="s">
        <v>426</v>
      </c>
      <c r="K197" s="19" t="s">
        <v>534</v>
      </c>
      <c r="L197" s="45" t="s">
        <v>724</v>
      </c>
    </row>
    <row r="198" spans="1:12" ht="15" customHeight="1" x14ac:dyDescent="0.2">
      <c r="A198" s="20" t="s">
        <v>1246</v>
      </c>
      <c r="B198" s="20" t="s">
        <v>361</v>
      </c>
      <c r="C198" s="20" t="s">
        <v>1247</v>
      </c>
      <c r="D198" s="21" t="s">
        <v>1248</v>
      </c>
      <c r="E198" s="21" t="s">
        <v>466</v>
      </c>
      <c r="F198" s="22">
        <v>44707</v>
      </c>
      <c r="G198" s="20" t="s">
        <v>423</v>
      </c>
      <c r="H198" s="21" t="s">
        <v>1249</v>
      </c>
      <c r="I198" s="20" t="s">
        <v>286</v>
      </c>
      <c r="J198" s="20" t="s">
        <v>426</v>
      </c>
      <c r="K198" s="20" t="s">
        <v>427</v>
      </c>
      <c r="L198" s="21"/>
    </row>
    <row r="199" spans="1:12" ht="15" customHeight="1" x14ac:dyDescent="0.2">
      <c r="A199" s="16" t="s">
        <v>1250</v>
      </c>
      <c r="B199" s="16" t="s">
        <v>139</v>
      </c>
      <c r="C199" s="16" t="s">
        <v>1251</v>
      </c>
      <c r="D199" s="17" t="s">
        <v>1252</v>
      </c>
      <c r="E199" s="17" t="s">
        <v>431</v>
      </c>
      <c r="F199" s="18">
        <v>48117</v>
      </c>
      <c r="G199" s="16" t="s">
        <v>423</v>
      </c>
      <c r="H199" s="17" t="s">
        <v>1253</v>
      </c>
      <c r="I199" s="16" t="s">
        <v>438</v>
      </c>
      <c r="J199" s="16" t="s">
        <v>426</v>
      </c>
      <c r="K199" s="16" t="s">
        <v>427</v>
      </c>
      <c r="L199" s="17"/>
    </row>
    <row r="200" spans="1:12" ht="15" customHeight="1" x14ac:dyDescent="0.2">
      <c r="A200" s="20" t="s">
        <v>1254</v>
      </c>
      <c r="B200" s="20" t="s">
        <v>175</v>
      </c>
      <c r="C200" s="20" t="s">
        <v>1255</v>
      </c>
      <c r="D200" s="21" t="s">
        <v>1256</v>
      </c>
      <c r="E200" s="21" t="s">
        <v>292</v>
      </c>
      <c r="F200" s="22">
        <v>7730</v>
      </c>
      <c r="G200" s="20" t="s">
        <v>423</v>
      </c>
      <c r="H200" s="21" t="s">
        <v>1257</v>
      </c>
      <c r="I200" s="20" t="s">
        <v>425</v>
      </c>
      <c r="J200" s="20" t="s">
        <v>426</v>
      </c>
      <c r="K200" s="20" t="s">
        <v>427</v>
      </c>
      <c r="L200" s="21"/>
    </row>
    <row r="201" spans="1:12" ht="15" customHeight="1" x14ac:dyDescent="0.2">
      <c r="A201" s="16" t="s">
        <v>1258</v>
      </c>
      <c r="B201" s="16" t="s">
        <v>475</v>
      </c>
      <c r="C201" s="16" t="s">
        <v>1259</v>
      </c>
      <c r="D201" s="17" t="s">
        <v>1260</v>
      </c>
      <c r="E201" s="17" t="s">
        <v>422</v>
      </c>
      <c r="F201" s="18">
        <v>24879</v>
      </c>
      <c r="G201" s="16" t="s">
        <v>423</v>
      </c>
      <c r="H201" s="17" t="s">
        <v>1261</v>
      </c>
      <c r="I201" s="16" t="s">
        <v>438</v>
      </c>
      <c r="J201" s="16" t="s">
        <v>426</v>
      </c>
      <c r="K201" s="16" t="s">
        <v>427</v>
      </c>
      <c r="L201" s="17"/>
    </row>
    <row r="202" spans="1:12" ht="15" customHeight="1" x14ac:dyDescent="0.2">
      <c r="A202" s="20" t="s">
        <v>1262</v>
      </c>
      <c r="B202" s="20" t="s">
        <v>65</v>
      </c>
      <c r="C202" s="20" t="s">
        <v>1263</v>
      </c>
      <c r="D202" s="21" t="s">
        <v>1264</v>
      </c>
      <c r="E202" s="21" t="s">
        <v>431</v>
      </c>
      <c r="F202" s="22">
        <v>29789</v>
      </c>
      <c r="G202" s="20" t="s">
        <v>423</v>
      </c>
      <c r="H202" s="21" t="s">
        <v>1265</v>
      </c>
      <c r="I202" s="20" t="s">
        <v>286</v>
      </c>
      <c r="J202" s="20" t="s">
        <v>426</v>
      </c>
      <c r="K202" s="20" t="s">
        <v>427</v>
      </c>
      <c r="L202" s="21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zoomScaleNormal="100" workbookViewId="0">
      <pane ySplit="2" topLeftCell="A30" activePane="bottomLeft" state="frozen"/>
      <selection pane="bottomLeft" activeCell="D4" sqref="D4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28" customWidth="1"/>
    <col min="4" max="4" width="85" customWidth="1"/>
    <col min="5" max="5" width="22" customWidth="1"/>
    <col min="6" max="6" width="12" customWidth="1"/>
  </cols>
  <sheetData>
    <row r="1" spans="1:6" ht="25.5" customHeight="1" x14ac:dyDescent="0.2">
      <c r="A1" s="6" t="s">
        <v>1266</v>
      </c>
      <c r="B1" s="6"/>
      <c r="C1" s="6"/>
      <c r="D1" s="6"/>
      <c r="E1" s="6"/>
      <c r="F1" s="6"/>
    </row>
    <row r="2" spans="1:6" ht="36" customHeight="1" x14ac:dyDescent="0.2">
      <c r="A2" s="7" t="s">
        <v>1267</v>
      </c>
      <c r="B2" s="7" t="s">
        <v>1268</v>
      </c>
      <c r="C2" s="7" t="s">
        <v>1269</v>
      </c>
      <c r="D2" s="7" t="s">
        <v>1270</v>
      </c>
      <c r="E2" s="7" t="s">
        <v>1271</v>
      </c>
      <c r="F2" s="7" t="s">
        <v>1272</v>
      </c>
    </row>
    <row r="3" spans="1:6" ht="169.5" customHeight="1" x14ac:dyDescent="0.2">
      <c r="A3" s="11">
        <v>1</v>
      </c>
      <c r="B3" s="47" t="s">
        <v>1273</v>
      </c>
      <c r="C3" s="48" t="s">
        <v>1274</v>
      </c>
      <c r="D3" s="49" t="s">
        <v>1275</v>
      </c>
      <c r="E3" s="16" t="s">
        <v>1276</v>
      </c>
      <c r="F3" s="50" t="s">
        <v>1277</v>
      </c>
    </row>
    <row r="4" spans="1:6" ht="174" customHeight="1" x14ac:dyDescent="0.2">
      <c r="A4" s="51">
        <v>2</v>
      </c>
      <c r="B4" s="47" t="s">
        <v>1273</v>
      </c>
      <c r="C4" s="52" t="s">
        <v>1278</v>
      </c>
      <c r="D4" s="49" t="s">
        <v>1279</v>
      </c>
      <c r="E4" s="20" t="s">
        <v>1280</v>
      </c>
      <c r="F4" s="53" t="s">
        <v>259</v>
      </c>
    </row>
    <row r="5" spans="1:6" ht="154.5" customHeight="1" x14ac:dyDescent="0.2">
      <c r="A5" s="11">
        <v>3</v>
      </c>
      <c r="B5" s="47" t="s">
        <v>1273</v>
      </c>
      <c r="C5" s="48" t="s">
        <v>1281</v>
      </c>
      <c r="D5" s="49" t="s">
        <v>1282</v>
      </c>
      <c r="E5" s="16" t="s">
        <v>1280</v>
      </c>
      <c r="F5" s="54" t="s">
        <v>1283</v>
      </c>
    </row>
    <row r="6" spans="1:6" ht="138" customHeight="1" x14ac:dyDescent="0.2">
      <c r="A6" s="51">
        <v>4</v>
      </c>
      <c r="B6" s="47" t="s">
        <v>1273</v>
      </c>
      <c r="C6" s="52" t="s">
        <v>1284</v>
      </c>
      <c r="D6" s="49" t="s">
        <v>1285</v>
      </c>
      <c r="E6" s="20" t="s">
        <v>1276</v>
      </c>
      <c r="F6" s="50" t="s">
        <v>1277</v>
      </c>
    </row>
    <row r="7" spans="1:6" ht="141.75" customHeight="1" x14ac:dyDescent="0.2">
      <c r="A7" s="11">
        <v>5</v>
      </c>
      <c r="B7" s="47" t="s">
        <v>1273</v>
      </c>
      <c r="C7" s="48" t="s">
        <v>1286</v>
      </c>
      <c r="D7" s="49" t="s">
        <v>1287</v>
      </c>
      <c r="E7" s="16" t="s">
        <v>1288</v>
      </c>
      <c r="F7" s="54" t="s">
        <v>1283</v>
      </c>
    </row>
    <row r="8" spans="1:6" ht="160.5" customHeight="1" x14ac:dyDescent="0.2">
      <c r="A8" s="51">
        <v>6</v>
      </c>
      <c r="B8" s="55" t="s">
        <v>1289</v>
      </c>
      <c r="C8" s="52" t="s">
        <v>1290</v>
      </c>
      <c r="D8" s="49" t="s">
        <v>1291</v>
      </c>
      <c r="E8" s="20" t="s">
        <v>1292</v>
      </c>
      <c r="F8" s="50" t="s">
        <v>1277</v>
      </c>
    </row>
    <row r="9" spans="1:6" ht="207" customHeight="1" x14ac:dyDescent="0.2">
      <c r="A9" s="11">
        <v>7</v>
      </c>
      <c r="B9" s="55" t="s">
        <v>1289</v>
      </c>
      <c r="C9" s="48" t="s">
        <v>1293</v>
      </c>
      <c r="D9" s="49" t="s">
        <v>1294</v>
      </c>
      <c r="E9" s="16" t="s">
        <v>1295</v>
      </c>
      <c r="F9" s="50" t="s">
        <v>1277</v>
      </c>
    </row>
    <row r="10" spans="1:6" ht="154.5" customHeight="1" x14ac:dyDescent="0.2">
      <c r="A10" s="51">
        <v>8</v>
      </c>
      <c r="B10" s="55" t="s">
        <v>1289</v>
      </c>
      <c r="C10" s="52" t="s">
        <v>1296</v>
      </c>
      <c r="D10" s="49" t="s">
        <v>1297</v>
      </c>
      <c r="E10" s="20" t="s">
        <v>1292</v>
      </c>
      <c r="F10" s="53" t="s">
        <v>259</v>
      </c>
    </row>
    <row r="11" spans="1:6" ht="111" customHeight="1" x14ac:dyDescent="0.2">
      <c r="A11" s="11">
        <v>9</v>
      </c>
      <c r="B11" s="55" t="s">
        <v>1289</v>
      </c>
      <c r="C11" s="48" t="s">
        <v>1298</v>
      </c>
      <c r="D11" s="49" t="s">
        <v>1299</v>
      </c>
      <c r="E11" s="16" t="s">
        <v>1276</v>
      </c>
      <c r="F11" s="53" t="s">
        <v>259</v>
      </c>
    </row>
    <row r="12" spans="1:6" ht="151.5" customHeight="1" x14ac:dyDescent="0.2">
      <c r="A12" s="51">
        <v>10</v>
      </c>
      <c r="B12" s="55" t="s">
        <v>1289</v>
      </c>
      <c r="C12" s="52" t="s">
        <v>1300</v>
      </c>
      <c r="D12" s="49" t="s">
        <v>1301</v>
      </c>
      <c r="E12" s="20" t="s">
        <v>1292</v>
      </c>
      <c r="F12" s="53" t="s">
        <v>259</v>
      </c>
    </row>
    <row r="13" spans="1:6" ht="144.75" customHeight="1" x14ac:dyDescent="0.2">
      <c r="A13" s="11">
        <v>11</v>
      </c>
      <c r="B13" s="56" t="s">
        <v>1302</v>
      </c>
      <c r="C13" s="48" t="s">
        <v>1303</v>
      </c>
      <c r="D13" s="49" t="s">
        <v>1304</v>
      </c>
      <c r="E13" s="16" t="s">
        <v>1276</v>
      </c>
      <c r="F13" s="50" t="s">
        <v>1277</v>
      </c>
    </row>
    <row r="14" spans="1:6" ht="156" customHeight="1" x14ac:dyDescent="0.2">
      <c r="A14" s="51">
        <v>12</v>
      </c>
      <c r="B14" s="56" t="s">
        <v>1302</v>
      </c>
      <c r="C14" s="52" t="s">
        <v>1305</v>
      </c>
      <c r="D14" s="49" t="s">
        <v>1306</v>
      </c>
      <c r="E14" s="20" t="s">
        <v>1280</v>
      </c>
      <c r="F14" s="53" t="s">
        <v>259</v>
      </c>
    </row>
    <row r="15" spans="1:6" ht="151.5" customHeight="1" x14ac:dyDescent="0.2">
      <c r="A15" s="11">
        <v>13</v>
      </c>
      <c r="B15" s="56" t="s">
        <v>1302</v>
      </c>
      <c r="C15" s="48" t="s">
        <v>1307</v>
      </c>
      <c r="D15" s="49" t="s">
        <v>1308</v>
      </c>
      <c r="E15" s="16" t="s">
        <v>1280</v>
      </c>
      <c r="F15" s="53" t="s">
        <v>259</v>
      </c>
    </row>
    <row r="16" spans="1:6" ht="168" customHeight="1" x14ac:dyDescent="0.2">
      <c r="A16" s="51">
        <v>14</v>
      </c>
      <c r="B16" s="56" t="s">
        <v>1302</v>
      </c>
      <c r="C16" s="52" t="s">
        <v>1309</v>
      </c>
      <c r="D16" s="49" t="s">
        <v>1310</v>
      </c>
      <c r="E16" s="20" t="s">
        <v>1276</v>
      </c>
      <c r="F16" s="50" t="s">
        <v>1277</v>
      </c>
    </row>
    <row r="17" spans="1:6" ht="153.75" customHeight="1" x14ac:dyDescent="0.2">
      <c r="A17" s="11">
        <v>15</v>
      </c>
      <c r="B17" s="56" t="s">
        <v>1302</v>
      </c>
      <c r="C17" s="48" t="s">
        <v>1311</v>
      </c>
      <c r="D17" s="49" t="s">
        <v>1312</v>
      </c>
      <c r="E17" s="16" t="s">
        <v>1280</v>
      </c>
      <c r="F17" s="54" t="s">
        <v>1283</v>
      </c>
    </row>
    <row r="18" spans="1:6" ht="160.5" customHeight="1" x14ac:dyDescent="0.2">
      <c r="A18" s="51">
        <v>16</v>
      </c>
      <c r="B18" s="57" t="s">
        <v>1313</v>
      </c>
      <c r="C18" s="52" t="s">
        <v>1314</v>
      </c>
      <c r="D18" s="49" t="s">
        <v>1315</v>
      </c>
      <c r="E18" s="20" t="s">
        <v>1292</v>
      </c>
      <c r="F18" s="54" t="s">
        <v>1283</v>
      </c>
    </row>
    <row r="19" spans="1:6" ht="178.5" customHeight="1" x14ac:dyDescent="0.2">
      <c r="A19" s="11">
        <v>17</v>
      </c>
      <c r="B19" s="57" t="s">
        <v>1313</v>
      </c>
      <c r="C19" s="48" t="s">
        <v>1316</v>
      </c>
      <c r="D19" s="49" t="s">
        <v>1317</v>
      </c>
      <c r="E19" s="16" t="s">
        <v>1280</v>
      </c>
      <c r="F19" s="54" t="s">
        <v>1283</v>
      </c>
    </row>
    <row r="20" spans="1:6" ht="157.5" customHeight="1" x14ac:dyDescent="0.2">
      <c r="A20" s="51">
        <v>18</v>
      </c>
      <c r="B20" s="57" t="s">
        <v>1313</v>
      </c>
      <c r="C20" s="52" t="s">
        <v>1318</v>
      </c>
      <c r="D20" s="49" t="s">
        <v>1319</v>
      </c>
      <c r="E20" s="20" t="s">
        <v>1276</v>
      </c>
      <c r="F20" s="53" t="s">
        <v>259</v>
      </c>
    </row>
    <row r="21" spans="1:6" ht="148.5" customHeight="1" x14ac:dyDescent="0.2">
      <c r="A21" s="11">
        <v>19</v>
      </c>
      <c r="B21" s="57" t="s">
        <v>1313</v>
      </c>
      <c r="C21" s="48" t="s">
        <v>1320</v>
      </c>
      <c r="D21" s="49" t="s">
        <v>1321</v>
      </c>
      <c r="E21" s="16" t="s">
        <v>1280</v>
      </c>
      <c r="F21" s="54" t="s">
        <v>1283</v>
      </c>
    </row>
    <row r="22" spans="1:6" ht="145.5" customHeight="1" x14ac:dyDescent="0.2">
      <c r="A22" s="51">
        <v>20</v>
      </c>
      <c r="B22" s="57" t="s">
        <v>1313</v>
      </c>
      <c r="C22" s="52" t="s">
        <v>1322</v>
      </c>
      <c r="D22" s="49" t="s">
        <v>1323</v>
      </c>
      <c r="E22" s="20" t="s">
        <v>1292</v>
      </c>
      <c r="F22" s="53" t="s">
        <v>259</v>
      </c>
    </row>
    <row r="23" spans="1:6" ht="165" customHeight="1" x14ac:dyDescent="0.2">
      <c r="A23" s="11">
        <v>21</v>
      </c>
      <c r="B23" s="58" t="s">
        <v>1324</v>
      </c>
      <c r="C23" s="48" t="s">
        <v>1325</v>
      </c>
      <c r="D23" s="49" t="s">
        <v>1326</v>
      </c>
      <c r="E23" s="16" t="s">
        <v>1292</v>
      </c>
      <c r="F23" s="53" t="s">
        <v>259</v>
      </c>
    </row>
    <row r="24" spans="1:6" ht="130.5" customHeight="1" x14ac:dyDescent="0.2">
      <c r="A24" s="51">
        <v>22</v>
      </c>
      <c r="B24" s="58" t="s">
        <v>1324</v>
      </c>
      <c r="C24" s="52" t="s">
        <v>1327</v>
      </c>
      <c r="D24" s="49" t="s">
        <v>1328</v>
      </c>
      <c r="E24" s="20" t="s">
        <v>1276</v>
      </c>
      <c r="F24" s="50" t="s">
        <v>1277</v>
      </c>
    </row>
    <row r="25" spans="1:6" ht="144" customHeight="1" x14ac:dyDescent="0.2">
      <c r="A25" s="11">
        <v>23</v>
      </c>
      <c r="B25" s="58" t="s">
        <v>1324</v>
      </c>
      <c r="C25" s="48" t="s">
        <v>1329</v>
      </c>
      <c r="D25" s="49" t="s">
        <v>1330</v>
      </c>
      <c r="E25" s="16" t="s">
        <v>1276</v>
      </c>
      <c r="F25" s="50" t="s">
        <v>1277</v>
      </c>
    </row>
    <row r="26" spans="1:6" ht="144" customHeight="1" x14ac:dyDescent="0.2">
      <c r="A26" s="51">
        <v>24</v>
      </c>
      <c r="B26" s="58" t="s">
        <v>1324</v>
      </c>
      <c r="C26" s="52" t="s">
        <v>1331</v>
      </c>
      <c r="D26" s="49" t="s">
        <v>1332</v>
      </c>
      <c r="E26" s="20" t="s">
        <v>1292</v>
      </c>
      <c r="F26" s="54" t="s">
        <v>1283</v>
      </c>
    </row>
    <row r="27" spans="1:6" ht="124.5" customHeight="1" x14ac:dyDescent="0.2">
      <c r="A27" s="11">
        <v>25</v>
      </c>
      <c r="B27" s="58" t="s">
        <v>1324</v>
      </c>
      <c r="C27" s="48" t="s">
        <v>1333</v>
      </c>
      <c r="D27" s="49" t="s">
        <v>1334</v>
      </c>
      <c r="E27" s="16" t="s">
        <v>1276</v>
      </c>
      <c r="F27" s="50" t="s">
        <v>1277</v>
      </c>
    </row>
    <row r="28" spans="1:6" ht="129.75" customHeight="1" x14ac:dyDescent="0.2">
      <c r="A28" s="51">
        <v>26</v>
      </c>
      <c r="B28" s="59" t="s">
        <v>1335</v>
      </c>
      <c r="C28" s="52" t="s">
        <v>1336</v>
      </c>
      <c r="D28" s="49" t="s">
        <v>1337</v>
      </c>
      <c r="E28" s="20" t="s">
        <v>1276</v>
      </c>
      <c r="F28" s="50" t="s">
        <v>1277</v>
      </c>
    </row>
    <row r="29" spans="1:6" ht="132.75" customHeight="1" x14ac:dyDescent="0.2">
      <c r="A29" s="11">
        <v>27</v>
      </c>
      <c r="B29" s="59" t="s">
        <v>1335</v>
      </c>
      <c r="C29" s="48" t="s">
        <v>1338</v>
      </c>
      <c r="D29" s="49" t="s">
        <v>1339</v>
      </c>
      <c r="E29" s="16" t="s">
        <v>1276</v>
      </c>
      <c r="F29" s="53" t="s">
        <v>259</v>
      </c>
    </row>
    <row r="30" spans="1:6" ht="172.5" customHeight="1" x14ac:dyDescent="0.2">
      <c r="A30" s="51">
        <v>28</v>
      </c>
      <c r="B30" s="59" t="s">
        <v>1335</v>
      </c>
      <c r="C30" s="52" t="s">
        <v>1340</v>
      </c>
      <c r="D30" s="49" t="s">
        <v>1341</v>
      </c>
      <c r="E30" s="20" t="s">
        <v>1280</v>
      </c>
      <c r="F30" s="53" t="s">
        <v>259</v>
      </c>
    </row>
    <row r="31" spans="1:6" ht="139.5" customHeight="1" x14ac:dyDescent="0.2">
      <c r="A31" s="11">
        <v>29</v>
      </c>
      <c r="B31" s="59" t="s">
        <v>1335</v>
      </c>
      <c r="C31" s="48" t="s">
        <v>1342</v>
      </c>
      <c r="D31" s="49" t="s">
        <v>1343</v>
      </c>
      <c r="E31" s="16" t="s">
        <v>1276</v>
      </c>
      <c r="F31" s="53" t="s">
        <v>259</v>
      </c>
    </row>
    <row r="32" spans="1:6" ht="145.5" customHeight="1" x14ac:dyDescent="0.2">
      <c r="A32" s="51">
        <v>30</v>
      </c>
      <c r="B32" s="59" t="s">
        <v>1335</v>
      </c>
      <c r="C32" s="52" t="s">
        <v>1344</v>
      </c>
      <c r="D32" s="49" t="s">
        <v>1345</v>
      </c>
      <c r="E32" s="20" t="s">
        <v>1346</v>
      </c>
      <c r="F32" s="54" t="s">
        <v>1283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tabSelected="1" zoomScale="118" zoomScaleNormal="100" workbookViewId="0">
      <pane ySplit="2" topLeftCell="A8" activePane="bottomLeft" state="frozen"/>
      <selection pane="bottomLeft" activeCell="E15" sqref="E15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4" width="50" customWidth="1"/>
    <col min="5" max="6" width="38" customWidth="1"/>
  </cols>
  <sheetData>
    <row r="1" spans="1:6" ht="25.5" customHeight="1" x14ac:dyDescent="0.2">
      <c r="A1" s="4" t="s">
        <v>1347</v>
      </c>
      <c r="B1" s="4"/>
      <c r="C1" s="4"/>
      <c r="D1" s="4"/>
      <c r="E1" s="4"/>
    </row>
    <row r="2" spans="1:6" ht="36" customHeight="1" x14ac:dyDescent="0.2">
      <c r="A2" s="8" t="s">
        <v>1267</v>
      </c>
      <c r="B2" s="8" t="s">
        <v>1348</v>
      </c>
      <c r="C2" s="8" t="s">
        <v>1349</v>
      </c>
      <c r="D2" s="8" t="s">
        <v>1350</v>
      </c>
      <c r="E2" s="8" t="s">
        <v>1351</v>
      </c>
      <c r="F2" s="8" t="s">
        <v>1352</v>
      </c>
    </row>
    <row r="3" spans="1:6" ht="99.75" customHeight="1" x14ac:dyDescent="0.2">
      <c r="A3" s="60">
        <v>1</v>
      </c>
      <c r="B3" s="68" t="s">
        <v>1353</v>
      </c>
      <c r="C3" s="61" t="s">
        <v>1354</v>
      </c>
      <c r="D3" s="62" t="s">
        <v>1355</v>
      </c>
      <c r="E3" s="63" t="s">
        <v>1356</v>
      </c>
      <c r="F3" s="69" t="s">
        <v>1357</v>
      </c>
    </row>
    <row r="4" spans="1:6" ht="99.75" customHeight="1" x14ac:dyDescent="0.2">
      <c r="A4" s="64">
        <v>2</v>
      </c>
      <c r="B4" s="68" t="s">
        <v>1358</v>
      </c>
      <c r="C4" s="61" t="s">
        <v>1359</v>
      </c>
      <c r="D4" s="62" t="s">
        <v>1360</v>
      </c>
      <c r="E4" s="63" t="s">
        <v>1361</v>
      </c>
      <c r="F4" s="69" t="s">
        <v>1362</v>
      </c>
    </row>
    <row r="5" spans="1:6" ht="99.75" customHeight="1" x14ac:dyDescent="0.2">
      <c r="A5" s="60">
        <v>3</v>
      </c>
      <c r="B5" s="68" t="s">
        <v>1363</v>
      </c>
      <c r="C5" s="61" t="s">
        <v>1364</v>
      </c>
      <c r="D5" s="62" t="s">
        <v>1365</v>
      </c>
      <c r="E5" s="63" t="s">
        <v>1366</v>
      </c>
      <c r="F5" s="69" t="s">
        <v>1367</v>
      </c>
    </row>
    <row r="6" spans="1:6" ht="99.75" customHeight="1" x14ac:dyDescent="0.2">
      <c r="A6" s="64">
        <v>4</v>
      </c>
      <c r="B6" s="68" t="s">
        <v>1368</v>
      </c>
      <c r="C6" s="61" t="s">
        <v>1369</v>
      </c>
      <c r="D6" s="62" t="s">
        <v>1370</v>
      </c>
      <c r="E6" s="63" t="s">
        <v>1371</v>
      </c>
      <c r="F6" s="69" t="s">
        <v>1372</v>
      </c>
    </row>
    <row r="7" spans="1:6" ht="99.75" customHeight="1" x14ac:dyDescent="0.2">
      <c r="A7" s="60">
        <v>5</v>
      </c>
      <c r="B7" s="68" t="s">
        <v>1373</v>
      </c>
      <c r="C7" s="61" t="s">
        <v>1374</v>
      </c>
      <c r="D7" s="62" t="s">
        <v>1375</v>
      </c>
      <c r="E7" s="63" t="s">
        <v>1376</v>
      </c>
      <c r="F7" s="69" t="s">
        <v>1377</v>
      </c>
    </row>
    <row r="8" spans="1:6" ht="99.75" customHeight="1" x14ac:dyDescent="0.2">
      <c r="A8" s="64">
        <v>6</v>
      </c>
      <c r="B8" s="68" t="s">
        <v>1378</v>
      </c>
      <c r="C8" s="61" t="s">
        <v>1379</v>
      </c>
      <c r="D8" s="62" t="s">
        <v>1380</v>
      </c>
      <c r="E8" s="63" t="s">
        <v>1381</v>
      </c>
      <c r="F8" s="69" t="s">
        <v>1382</v>
      </c>
    </row>
    <row r="9" spans="1:6" ht="99.75" customHeight="1" x14ac:dyDescent="0.2">
      <c r="A9" s="60">
        <v>7</v>
      </c>
      <c r="B9" s="68" t="s">
        <v>1383</v>
      </c>
      <c r="C9" s="61" t="s">
        <v>1384</v>
      </c>
      <c r="D9" s="62" t="s">
        <v>1385</v>
      </c>
      <c r="E9" s="63" t="s">
        <v>1386</v>
      </c>
      <c r="F9" s="69" t="s">
        <v>1387</v>
      </c>
    </row>
    <row r="10" spans="1:6" ht="99.75" customHeight="1" x14ac:dyDescent="0.2">
      <c r="A10" s="64">
        <v>8</v>
      </c>
      <c r="B10" s="68" t="s">
        <v>1388</v>
      </c>
      <c r="C10" s="61" t="s">
        <v>1389</v>
      </c>
      <c r="D10" s="62" t="s">
        <v>1390</v>
      </c>
      <c r="E10" s="63" t="s">
        <v>1391</v>
      </c>
      <c r="F10" s="69" t="s">
        <v>1392</v>
      </c>
    </row>
    <row r="11" spans="1:6" ht="99.75" customHeight="1" x14ac:dyDescent="0.2">
      <c r="A11" s="60">
        <v>9</v>
      </c>
      <c r="B11" s="68" t="s">
        <v>1393</v>
      </c>
      <c r="C11" s="61" t="s">
        <v>1394</v>
      </c>
      <c r="D11" s="62" t="s">
        <v>1395</v>
      </c>
      <c r="E11" s="63" t="s">
        <v>1396</v>
      </c>
      <c r="F11" s="69" t="s">
        <v>1397</v>
      </c>
    </row>
    <row r="12" spans="1:6" ht="99.75" customHeight="1" x14ac:dyDescent="0.2">
      <c r="A12" s="64">
        <v>10</v>
      </c>
      <c r="B12" s="68" t="s">
        <v>1398</v>
      </c>
      <c r="C12" s="61" t="s">
        <v>1399</v>
      </c>
      <c r="D12" s="62" t="s">
        <v>1400</v>
      </c>
      <c r="E12" s="63" t="s">
        <v>1401</v>
      </c>
      <c r="F12" s="69" t="s">
        <v>1402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zoomScale="222" zoomScaleNormal="100" workbookViewId="0">
      <pane ySplit="2" topLeftCell="A30" activePane="bottomLeft" state="frozen"/>
      <selection pane="bottomLeft" activeCell="D11" sqref="D11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48" customWidth="1"/>
    <col min="4" max="4" width="55" customWidth="1"/>
    <col min="5" max="5" width="28" customWidth="1"/>
    <col min="6" max="6" width="24" customWidth="1"/>
  </cols>
  <sheetData>
    <row r="1" spans="1:6" ht="25.5" customHeight="1" x14ac:dyDescent="0.2">
      <c r="A1" s="1" t="s">
        <v>1403</v>
      </c>
      <c r="B1" s="1"/>
      <c r="C1" s="1"/>
      <c r="D1" s="1"/>
      <c r="E1" s="1"/>
      <c r="F1" s="1"/>
    </row>
    <row r="2" spans="1:6" ht="36" customHeight="1" x14ac:dyDescent="0.2">
      <c r="A2" s="65" t="s">
        <v>1267</v>
      </c>
      <c r="B2" s="65" t="s">
        <v>1268</v>
      </c>
      <c r="C2" s="65" t="s">
        <v>1404</v>
      </c>
      <c r="D2" s="65" t="s">
        <v>1405</v>
      </c>
      <c r="E2" s="65" t="s">
        <v>1406</v>
      </c>
      <c r="F2" s="65" t="s">
        <v>1407</v>
      </c>
    </row>
    <row r="3" spans="1:6" ht="69.75" customHeight="1" x14ac:dyDescent="0.2">
      <c r="A3" s="34">
        <v>1</v>
      </c>
      <c r="B3" s="56" t="s">
        <v>1408</v>
      </c>
      <c r="C3" s="45" t="s">
        <v>1409</v>
      </c>
      <c r="D3" s="66" t="s">
        <v>1410</v>
      </c>
      <c r="E3" s="67" t="s">
        <v>1411</v>
      </c>
      <c r="F3" s="56" t="s">
        <v>1412</v>
      </c>
    </row>
    <row r="4" spans="1:6" ht="69.75" customHeight="1" x14ac:dyDescent="0.2">
      <c r="A4" s="35">
        <v>2</v>
      </c>
      <c r="B4" s="56" t="s">
        <v>1408</v>
      </c>
      <c r="C4" s="45" t="s">
        <v>1413</v>
      </c>
      <c r="D4" s="66" t="s">
        <v>1414</v>
      </c>
      <c r="E4" s="67" t="s">
        <v>1415</v>
      </c>
      <c r="F4" s="56" t="s">
        <v>1416</v>
      </c>
    </row>
    <row r="5" spans="1:6" ht="69.75" customHeight="1" x14ac:dyDescent="0.2">
      <c r="A5" s="34">
        <v>3</v>
      </c>
      <c r="B5" s="56" t="s">
        <v>1417</v>
      </c>
      <c r="C5" s="45" t="s">
        <v>1418</v>
      </c>
      <c r="D5" s="66" t="s">
        <v>1419</v>
      </c>
      <c r="E5" s="67" t="s">
        <v>1420</v>
      </c>
      <c r="F5" s="56" t="s">
        <v>1421</v>
      </c>
    </row>
    <row r="6" spans="1:6" ht="69.75" customHeight="1" x14ac:dyDescent="0.2">
      <c r="A6" s="35">
        <v>4</v>
      </c>
      <c r="B6" s="56" t="s">
        <v>1417</v>
      </c>
      <c r="C6" s="45" t="s">
        <v>1422</v>
      </c>
      <c r="D6" s="66" t="s">
        <v>1423</v>
      </c>
      <c r="E6" s="67" t="s">
        <v>1424</v>
      </c>
      <c r="F6" s="56" t="s">
        <v>1425</v>
      </c>
    </row>
    <row r="7" spans="1:6" ht="69.75" customHeight="1" x14ac:dyDescent="0.2">
      <c r="A7" s="34">
        <v>5</v>
      </c>
      <c r="B7" s="56" t="s">
        <v>1417</v>
      </c>
      <c r="C7" s="45" t="s">
        <v>1426</v>
      </c>
      <c r="D7" s="66" t="s">
        <v>1427</v>
      </c>
      <c r="E7" s="67" t="s">
        <v>1428</v>
      </c>
      <c r="F7" s="56" t="s">
        <v>1429</v>
      </c>
    </row>
    <row r="8" spans="1:6" ht="69.75" customHeight="1" x14ac:dyDescent="0.2">
      <c r="A8" s="35">
        <v>6</v>
      </c>
      <c r="B8" s="56" t="s">
        <v>1430</v>
      </c>
      <c r="C8" s="45" t="s">
        <v>1431</v>
      </c>
      <c r="D8" s="66" t="s">
        <v>1432</v>
      </c>
      <c r="E8" s="67" t="s">
        <v>1433</v>
      </c>
      <c r="F8" s="56" t="s">
        <v>1434</v>
      </c>
    </row>
    <row r="9" spans="1:6" ht="69.75" customHeight="1" x14ac:dyDescent="0.2">
      <c r="A9" s="34">
        <v>7</v>
      </c>
      <c r="B9" s="56" t="s">
        <v>1430</v>
      </c>
      <c r="C9" s="45" t="s">
        <v>1435</v>
      </c>
      <c r="D9" s="66" t="s">
        <v>1436</v>
      </c>
      <c r="E9" s="67" t="s">
        <v>1437</v>
      </c>
      <c r="F9" s="56" t="s">
        <v>1438</v>
      </c>
    </row>
    <row r="10" spans="1:6" ht="69.75" customHeight="1" x14ac:dyDescent="0.2">
      <c r="A10" s="35">
        <v>8</v>
      </c>
      <c r="B10" s="56" t="s">
        <v>1430</v>
      </c>
      <c r="C10" s="45" t="s">
        <v>1439</v>
      </c>
      <c r="D10" s="66" t="s">
        <v>1440</v>
      </c>
      <c r="E10" s="67" t="s">
        <v>1441</v>
      </c>
      <c r="F10" s="56" t="s">
        <v>1442</v>
      </c>
    </row>
    <row r="11" spans="1:6" ht="69.75" customHeight="1" x14ac:dyDescent="0.2">
      <c r="A11" s="34">
        <v>9</v>
      </c>
      <c r="B11" s="56" t="s">
        <v>1430</v>
      </c>
      <c r="C11" s="45" t="s">
        <v>1443</v>
      </c>
      <c r="D11" s="66" t="s">
        <v>1444</v>
      </c>
      <c r="E11" s="67" t="s">
        <v>1445</v>
      </c>
      <c r="F11" s="56" t="s">
        <v>1446</v>
      </c>
    </row>
    <row r="12" spans="1:6" ht="69.75" customHeight="1" x14ac:dyDescent="0.2">
      <c r="A12" s="35">
        <v>10</v>
      </c>
      <c r="B12" s="56" t="s">
        <v>1447</v>
      </c>
      <c r="C12" s="45" t="s">
        <v>1448</v>
      </c>
      <c r="D12" s="66" t="s">
        <v>1449</v>
      </c>
      <c r="E12" s="67" t="s">
        <v>1450</v>
      </c>
      <c r="F12" s="56" t="s">
        <v>1451</v>
      </c>
    </row>
    <row r="13" spans="1:6" ht="69.75" customHeight="1" x14ac:dyDescent="0.2">
      <c r="A13" s="34">
        <v>11</v>
      </c>
      <c r="B13" s="56" t="s">
        <v>1447</v>
      </c>
      <c r="C13" s="45" t="s">
        <v>1452</v>
      </c>
      <c r="D13" s="66" t="s">
        <v>1453</v>
      </c>
      <c r="E13" s="67" t="s">
        <v>1454</v>
      </c>
      <c r="F13" s="56" t="s">
        <v>1455</v>
      </c>
    </row>
    <row r="14" spans="1:6" ht="69.75" customHeight="1" x14ac:dyDescent="0.2">
      <c r="A14" s="35">
        <v>12</v>
      </c>
      <c r="B14" s="56" t="s">
        <v>1447</v>
      </c>
      <c r="C14" s="45" t="s">
        <v>1456</v>
      </c>
      <c r="D14" s="66" t="s">
        <v>1457</v>
      </c>
      <c r="E14" s="67" t="s">
        <v>1458</v>
      </c>
      <c r="F14" s="56" t="s">
        <v>1459</v>
      </c>
    </row>
    <row r="15" spans="1:6" ht="69.75" customHeight="1" x14ac:dyDescent="0.2">
      <c r="A15" s="34">
        <v>13</v>
      </c>
      <c r="B15" s="56" t="s">
        <v>230</v>
      </c>
      <c r="C15" s="45" t="s">
        <v>1460</v>
      </c>
      <c r="D15" s="66" t="s">
        <v>1461</v>
      </c>
      <c r="E15" s="67" t="s">
        <v>1462</v>
      </c>
      <c r="F15" s="56" t="s">
        <v>1463</v>
      </c>
    </row>
    <row r="16" spans="1:6" ht="69.75" customHeight="1" x14ac:dyDescent="0.2">
      <c r="A16" s="35">
        <v>14</v>
      </c>
      <c r="B16" s="56" t="s">
        <v>230</v>
      </c>
      <c r="C16" s="45" t="s">
        <v>1464</v>
      </c>
      <c r="D16" s="66" t="s">
        <v>1465</v>
      </c>
      <c r="E16" s="67" t="s">
        <v>1466</v>
      </c>
      <c r="F16" s="56" t="s">
        <v>1467</v>
      </c>
    </row>
    <row r="17" spans="1:6" ht="69.75" customHeight="1" x14ac:dyDescent="0.2">
      <c r="A17" s="34">
        <v>15</v>
      </c>
      <c r="B17" s="56" t="s">
        <v>230</v>
      </c>
      <c r="C17" s="45" t="s">
        <v>1468</v>
      </c>
      <c r="D17" s="66" t="s">
        <v>1469</v>
      </c>
      <c r="E17" s="67" t="s">
        <v>1470</v>
      </c>
      <c r="F17" s="56" t="s">
        <v>1471</v>
      </c>
    </row>
    <row r="18" spans="1:6" ht="69.75" customHeight="1" x14ac:dyDescent="0.2">
      <c r="A18" s="35">
        <v>16</v>
      </c>
      <c r="B18" s="56" t="s">
        <v>1472</v>
      </c>
      <c r="C18" s="45" t="s">
        <v>1473</v>
      </c>
      <c r="D18" s="66" t="s">
        <v>1474</v>
      </c>
      <c r="E18" s="67" t="s">
        <v>1475</v>
      </c>
      <c r="F18" s="56" t="s">
        <v>1476</v>
      </c>
    </row>
    <row r="19" spans="1:6" ht="69.75" customHeight="1" x14ac:dyDescent="0.2">
      <c r="A19" s="34">
        <v>17</v>
      </c>
      <c r="B19" s="56" t="s">
        <v>1472</v>
      </c>
      <c r="C19" s="45" t="s">
        <v>1477</v>
      </c>
      <c r="D19" s="66" t="s">
        <v>1478</v>
      </c>
      <c r="E19" s="67" t="s">
        <v>1479</v>
      </c>
      <c r="F19" s="56" t="s">
        <v>1480</v>
      </c>
    </row>
    <row r="20" spans="1:6" ht="69.75" customHeight="1" x14ac:dyDescent="0.2">
      <c r="A20" s="35">
        <v>18</v>
      </c>
      <c r="B20" s="56" t="s">
        <v>1472</v>
      </c>
      <c r="C20" s="45" t="s">
        <v>1481</v>
      </c>
      <c r="D20" s="66" t="s">
        <v>1482</v>
      </c>
      <c r="E20" s="67" t="s">
        <v>1483</v>
      </c>
      <c r="F20" s="56" t="s">
        <v>1484</v>
      </c>
    </row>
    <row r="21" spans="1:6" ht="69.75" customHeight="1" x14ac:dyDescent="0.2">
      <c r="A21" s="34">
        <v>19</v>
      </c>
      <c r="B21" s="56" t="s">
        <v>1408</v>
      </c>
      <c r="C21" s="45" t="s">
        <v>1485</v>
      </c>
      <c r="D21" s="66" t="s">
        <v>1486</v>
      </c>
      <c r="E21" s="67" t="s">
        <v>1487</v>
      </c>
      <c r="F21" s="56" t="s">
        <v>1488</v>
      </c>
    </row>
    <row r="22" spans="1:6" ht="69.75" customHeight="1" x14ac:dyDescent="0.2">
      <c r="A22" s="35">
        <v>20</v>
      </c>
      <c r="B22" s="56" t="s">
        <v>1430</v>
      </c>
      <c r="C22" s="45" t="s">
        <v>1489</v>
      </c>
      <c r="D22" s="66" t="s">
        <v>1490</v>
      </c>
      <c r="E22" s="67" t="s">
        <v>1491</v>
      </c>
      <c r="F22" s="56" t="s">
        <v>1492</v>
      </c>
    </row>
    <row r="23" spans="1:6" ht="69.75" customHeight="1" x14ac:dyDescent="0.2">
      <c r="A23" s="34">
        <v>21</v>
      </c>
      <c r="B23" s="56" t="s">
        <v>1417</v>
      </c>
      <c r="C23" s="45" t="s">
        <v>1493</v>
      </c>
      <c r="D23" s="66" t="s">
        <v>1494</v>
      </c>
      <c r="E23" s="67" t="s">
        <v>1495</v>
      </c>
      <c r="F23" s="56" t="s">
        <v>1496</v>
      </c>
    </row>
    <row r="24" spans="1:6" ht="69.75" customHeight="1" x14ac:dyDescent="0.2">
      <c r="A24" s="35">
        <v>22</v>
      </c>
      <c r="B24" s="56" t="s">
        <v>230</v>
      </c>
      <c r="C24" s="45" t="s">
        <v>1497</v>
      </c>
      <c r="D24" s="66" t="s">
        <v>1498</v>
      </c>
      <c r="E24" s="67" t="s">
        <v>1499</v>
      </c>
      <c r="F24" s="56" t="s">
        <v>1500</v>
      </c>
    </row>
    <row r="25" spans="1:6" ht="69.75" customHeight="1" x14ac:dyDescent="0.2">
      <c r="A25" s="34">
        <v>23</v>
      </c>
      <c r="B25" s="56" t="s">
        <v>1408</v>
      </c>
      <c r="C25" s="45" t="s">
        <v>1501</v>
      </c>
      <c r="D25" s="66" t="s">
        <v>1502</v>
      </c>
      <c r="E25" s="67" t="s">
        <v>1503</v>
      </c>
      <c r="F25" s="56" t="s">
        <v>1504</v>
      </c>
    </row>
    <row r="26" spans="1:6" ht="69.75" customHeight="1" x14ac:dyDescent="0.2">
      <c r="A26" s="35">
        <v>24</v>
      </c>
      <c r="B26" s="56" t="s">
        <v>1447</v>
      </c>
      <c r="C26" s="45" t="s">
        <v>1505</v>
      </c>
      <c r="D26" s="66" t="s">
        <v>1506</v>
      </c>
      <c r="E26" s="67" t="s">
        <v>1507</v>
      </c>
      <c r="F26" s="56" t="s">
        <v>1508</v>
      </c>
    </row>
    <row r="27" spans="1:6" ht="69.75" customHeight="1" x14ac:dyDescent="0.2">
      <c r="A27" s="34">
        <v>25</v>
      </c>
      <c r="B27" s="56" t="s">
        <v>1430</v>
      </c>
      <c r="C27" s="45" t="s">
        <v>1509</v>
      </c>
      <c r="D27" s="66" t="s">
        <v>1510</v>
      </c>
      <c r="E27" s="67" t="s">
        <v>1511</v>
      </c>
      <c r="F27" s="56" t="s">
        <v>1512</v>
      </c>
    </row>
    <row r="28" spans="1:6" ht="69.75" customHeight="1" x14ac:dyDescent="0.2">
      <c r="A28" s="35">
        <v>26</v>
      </c>
      <c r="B28" s="56" t="s">
        <v>1417</v>
      </c>
      <c r="C28" s="45" t="s">
        <v>1513</v>
      </c>
      <c r="D28" s="66" t="s">
        <v>1514</v>
      </c>
      <c r="E28" s="67" t="s">
        <v>1515</v>
      </c>
      <c r="F28" s="56" t="s">
        <v>1516</v>
      </c>
    </row>
    <row r="29" spans="1:6" ht="69.75" customHeight="1" x14ac:dyDescent="0.2">
      <c r="A29" s="34">
        <v>27</v>
      </c>
      <c r="B29" s="56" t="s">
        <v>1472</v>
      </c>
      <c r="C29" s="45" t="s">
        <v>1517</v>
      </c>
      <c r="D29" s="66" t="s">
        <v>1518</v>
      </c>
      <c r="E29" s="67" t="s">
        <v>1519</v>
      </c>
      <c r="F29" s="56" t="s">
        <v>1520</v>
      </c>
    </row>
    <row r="30" spans="1:6" ht="69.75" customHeight="1" x14ac:dyDescent="0.2">
      <c r="A30" s="35">
        <v>28</v>
      </c>
      <c r="B30" s="56" t="s">
        <v>230</v>
      </c>
      <c r="C30" s="45" t="s">
        <v>1521</v>
      </c>
      <c r="D30" s="66" t="s">
        <v>1522</v>
      </c>
      <c r="E30" s="67" t="s">
        <v>1523</v>
      </c>
      <c r="F30" s="56" t="s">
        <v>1524</v>
      </c>
    </row>
    <row r="31" spans="1:6" ht="69.75" customHeight="1" x14ac:dyDescent="0.2">
      <c r="A31" s="34">
        <v>29</v>
      </c>
      <c r="B31" s="56" t="s">
        <v>1408</v>
      </c>
      <c r="C31" s="45" t="s">
        <v>1525</v>
      </c>
      <c r="D31" s="66" t="s">
        <v>1526</v>
      </c>
      <c r="E31" s="67" t="s">
        <v>1527</v>
      </c>
      <c r="F31" s="56" t="s">
        <v>1528</v>
      </c>
    </row>
    <row r="32" spans="1:6" ht="69.75" customHeight="1" x14ac:dyDescent="0.2">
      <c r="A32" s="35">
        <v>30</v>
      </c>
      <c r="B32" s="56" t="s">
        <v>1417</v>
      </c>
      <c r="C32" s="45" t="s">
        <v>1529</v>
      </c>
      <c r="D32" s="66" t="s">
        <v>1530</v>
      </c>
      <c r="E32" s="67" t="s">
        <v>1531</v>
      </c>
      <c r="F32" s="56" t="s">
        <v>1532</v>
      </c>
    </row>
    <row r="33" spans="1:6" ht="69.75" customHeight="1" x14ac:dyDescent="0.2">
      <c r="A33" s="34">
        <v>31</v>
      </c>
      <c r="B33" s="56" t="s">
        <v>1533</v>
      </c>
      <c r="C33" s="45" t="s">
        <v>1534</v>
      </c>
      <c r="D33" s="66" t="s">
        <v>1535</v>
      </c>
      <c r="E33" s="67" t="s">
        <v>1536</v>
      </c>
      <c r="F33" s="56" t="s">
        <v>1537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Kullanım Kılavuzu</vt:lpstr>
      <vt:lpstr>1_Kredi_Başvuruları</vt:lpstr>
      <vt:lpstr>2_Müşteri_Şikayetleri</vt:lpstr>
      <vt:lpstr>3_Şube_KPI</vt:lpstr>
      <vt:lpstr>4_İşlem_Anomalileri</vt:lpstr>
      <vt:lpstr>5_Prompt_Kütüphanesi</vt:lpstr>
      <vt:lpstr>6_Egzersiz_Senaryoları</vt:lpstr>
      <vt:lpstr>7_İyi_Kötü_Promptlar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Zekeriya BEŞİROĞLU</cp:lastModifiedBy>
  <cp:revision>0</cp:revision>
  <dcterms:created xsi:type="dcterms:W3CDTF">2026-05-03T07:33:01Z</dcterms:created>
  <dcterms:modified xsi:type="dcterms:W3CDTF">2026-05-03T09:34:23Z</dcterms:modified>
  <dc:language>en-US</dc:language>
</cp:coreProperties>
</file>